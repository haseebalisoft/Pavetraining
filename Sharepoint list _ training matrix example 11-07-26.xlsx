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yneCurry\Downloads\"/>
    </mc:Choice>
  </mc:AlternateContent>
  <xr:revisionPtr revIDLastSave="0" documentId="8_{E22FF616-E474-4B48-BCE3-6F4E0E7DF5F9}" xr6:coauthVersionLast="47" xr6:coauthVersionMax="47" xr10:uidLastSave="{00000000-0000-0000-0000-000000000000}"/>
  <bookViews>
    <workbookView xWindow="-120" yWindow="-120" windowWidth="29040" windowHeight="15720" xr2:uid="{0FAF8A31-BDCB-4F8B-8E33-9193B7BE1BA9}"/>
  </bookViews>
  <sheets>
    <sheet name="query (9)" sheetId="1" r:id="rId1"/>
  </sheets>
  <definedNames>
    <definedName name="query__9" localSheetId="0" hidden="1">'query (9)'!#REF!</definedName>
  </definedNames>
  <calcPr calcId="0"/>
</workbook>
</file>

<file path=xl/calcChain.xml><?xml version="1.0" encoding="utf-8"?>
<calcChain xmlns="http://schemas.openxmlformats.org/spreadsheetml/2006/main">
  <c r="DU30" i="1" l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<sst xmlns="http://schemas.openxmlformats.org/spreadsheetml/2006/main" count="355" uniqueCount="217">
  <si>
    <t>Workforce Number</t>
  </si>
  <si>
    <t>Candidate Name</t>
  </si>
  <si>
    <t>Candidate Address</t>
  </si>
  <si>
    <t>Company Name</t>
  </si>
  <si>
    <t>Email</t>
  </si>
  <si>
    <t>Contact number</t>
  </si>
  <si>
    <t>Date of birth</t>
  </si>
  <si>
    <t>Ni Number</t>
  </si>
  <si>
    <t>Cscs Expiry</t>
  </si>
  <si>
    <t>Swqr Expiry</t>
  </si>
  <si>
    <t>Eusr Expiry</t>
  </si>
  <si>
    <t>Training manager</t>
  </si>
  <si>
    <t>Supervisor</t>
  </si>
  <si>
    <t>Company Number</t>
  </si>
  <si>
    <t>CSCS Number</t>
  </si>
  <si>
    <t>SWQR Number</t>
  </si>
  <si>
    <t>EUSR Number</t>
  </si>
  <si>
    <t>NPORS Number</t>
  </si>
  <si>
    <t>In House Certification Number</t>
  </si>
  <si>
    <t>Company Size</t>
  </si>
  <si>
    <t>Registered Address</t>
  </si>
  <si>
    <t>Company Reg Number</t>
  </si>
  <si>
    <t>VAT No</t>
  </si>
  <si>
    <t>Tel No</t>
  </si>
  <si>
    <t>Main Contact</t>
  </si>
  <si>
    <t>Accounts Contact Name</t>
  </si>
  <si>
    <t>Accounts address</t>
  </si>
  <si>
    <t>Accounts Contact number</t>
  </si>
  <si>
    <t>Accounts email</t>
  </si>
  <si>
    <t>Notes prices agreed</t>
  </si>
  <si>
    <t>COMPANY LIST</t>
  </si>
  <si>
    <t>Candidate list</t>
  </si>
  <si>
    <t>Training Date</t>
  </si>
  <si>
    <t>Training Address</t>
  </si>
  <si>
    <t>On/Number</t>
  </si>
  <si>
    <t>Novice or Ewt</t>
  </si>
  <si>
    <t>NPORS Category</t>
  </si>
  <si>
    <t>Expiry</t>
  </si>
  <si>
    <t>TESTER</t>
  </si>
  <si>
    <t>Date Pw uploaded</t>
  </si>
  <si>
    <t>Cards posted date/address</t>
  </si>
  <si>
    <t>NPORS Register</t>
  </si>
  <si>
    <t>Batch Number</t>
  </si>
  <si>
    <t>Eusr Category</t>
  </si>
  <si>
    <t>Date Resulted</t>
  </si>
  <si>
    <t>Card Type</t>
  </si>
  <si>
    <t>Dates card posted</t>
  </si>
  <si>
    <t>EUSR Register</t>
  </si>
  <si>
    <t>Expiry date</t>
  </si>
  <si>
    <t>Course</t>
  </si>
  <si>
    <t>Streetworks Category</t>
  </si>
  <si>
    <t>CERTS &amp; CARD APPLIED FOR</t>
  </si>
  <si>
    <t>CERT/ CARD SENT DATE</t>
  </si>
  <si>
    <t>CERTS SENT TO</t>
  </si>
  <si>
    <t>Streetworks Register</t>
  </si>
  <si>
    <t>Candidate Name: In House Certification Number</t>
  </si>
  <si>
    <t>Course Date</t>
  </si>
  <si>
    <t>Certificate Category</t>
  </si>
  <si>
    <t>Expiry Date</t>
  </si>
  <si>
    <t>CUSTOMER</t>
  </si>
  <si>
    <t>Certificate Sent Date</t>
  </si>
  <si>
    <t>Notes</t>
  </si>
  <si>
    <t>In-House Certificates Register</t>
  </si>
  <si>
    <t>NI Number</t>
  </si>
  <si>
    <t>ULN Number</t>
  </si>
  <si>
    <t>Nvq Title</t>
  </si>
  <si>
    <t>Bolt on Nvq</t>
  </si>
  <si>
    <t>PO Number</t>
  </si>
  <si>
    <t>Card Scheme Category</t>
  </si>
  <si>
    <t>Card Extension date needed</t>
  </si>
  <si>
    <t>Site Address</t>
  </si>
  <si>
    <t>Site Contact Name/Number</t>
  </si>
  <si>
    <t>English Understanding Confirmed</t>
  </si>
  <si>
    <t>T&amp;C Acknowledged</t>
  </si>
  <si>
    <t>GDPR Consent</t>
  </si>
  <si>
    <t>Date Registered</t>
  </si>
  <si>
    <t>Date induction Booked</t>
  </si>
  <si>
    <t>Stage of Nvq</t>
  </si>
  <si>
    <t>Completed Date</t>
  </si>
  <si>
    <t>Certification Date</t>
  </si>
  <si>
    <t>NVQ Register</t>
  </si>
  <si>
    <t>Name</t>
  </si>
  <si>
    <t>DOB</t>
  </si>
  <si>
    <t>CSCS Expiry</t>
  </si>
  <si>
    <t>SSSTS Expiry</t>
  </si>
  <si>
    <t>SMSTS Expiry</t>
  </si>
  <si>
    <t>NRSWA Expiry</t>
  </si>
  <si>
    <t>EUSR Expiry</t>
  </si>
  <si>
    <t>N001 - Ind FLT</t>
  </si>
  <si>
    <t>N003 - Reach Lift Truck</t>
  </si>
  <si>
    <t>N004 - Lorry Mounted Lift Truck</t>
  </si>
  <si>
    <t>N006 - Side Loader</t>
  </si>
  <si>
    <t>N009 - Rough Terrain Lift Truck</t>
  </si>
  <si>
    <t>N010 - Telescopic Handler</t>
  </si>
  <si>
    <t>N135 - Multi Di Lift Truck</t>
  </si>
  <si>
    <t>N108 - MEWP Boom</t>
  </si>
  <si>
    <t>N109 - MEWP Scissor</t>
  </si>
  <si>
    <t>N111 - Hoist</t>
  </si>
  <si>
    <t>N119 - Mast Climber</t>
  </si>
  <si>
    <t>N706 - Mobile Towers</t>
  </si>
  <si>
    <t>N014 - Marine Knuckle Boom Crane</t>
  </si>
  <si>
    <t>N019 - Report of  Thorough Exam</t>
  </si>
  <si>
    <t>N039 - Plant Inspector – Thorough Exam</t>
  </si>
  <si>
    <t>N046 - Rigging Planner</t>
  </si>
  <si>
    <t xml:space="preserve">N047 - Rigging </t>
  </si>
  <si>
    <t xml:space="preserve">N100 - Exc Crane </t>
  </si>
  <si>
    <t>N101 - Mobile Crane</t>
  </si>
  <si>
    <t>N102 - Tower Crane</t>
  </si>
  <si>
    <t>N103 - Crawler Crane</t>
  </si>
  <si>
    <t>N104 - Overhead Crane</t>
  </si>
  <si>
    <t>N105 - Quay Crane</t>
  </si>
  <si>
    <t>N106 - Log Handler</t>
  </si>
  <si>
    <t>N107 - Lorry Loader</t>
  </si>
  <si>
    <t>N114 - Overhead Container Gantry Crane</t>
  </si>
  <si>
    <t>N115 - Remote Control Tower Crane</t>
  </si>
  <si>
    <t xml:space="preserve">N138 - Tele Suspended Loads </t>
  </si>
  <si>
    <t>N140 - Compact Crane</t>
  </si>
  <si>
    <t>N242 - Side Boom</t>
  </si>
  <si>
    <t>N401 - Appointed Person</t>
  </si>
  <si>
    <t>N402 - Slinger / Signaller</t>
  </si>
  <si>
    <t>N405 - Crane / Lift Supervisor</t>
  </si>
  <si>
    <t>N722 - Materials Re-Handler</t>
  </si>
  <si>
    <t>N016 - Micro Excavator 360° up to 1 Tonne</t>
  </si>
  <si>
    <t>N020 - Tiltrotator System</t>
  </si>
  <si>
    <t>N021 - Suction Excavator</t>
  </si>
  <si>
    <t>N030 - Machine Control Systems</t>
  </si>
  <si>
    <t>N116 - Dragline</t>
  </si>
  <si>
    <t>N139 - Forward Tipping Mini Dumper up to 1 Tonne</t>
  </si>
  <si>
    <t>N201 - Excavator 180°</t>
  </si>
  <si>
    <t>N202 - Excavator 360°</t>
  </si>
  <si>
    <t>N203 - Trencher</t>
  </si>
  <si>
    <t>N204 - Forward Tipping Dumper</t>
  </si>
  <si>
    <t>N205 - Rear Tipping Dumper</t>
  </si>
  <si>
    <t>N206 - Loader Compressor</t>
  </si>
  <si>
    <t>N209 - Loading Shovel</t>
  </si>
  <si>
    <t>N212 - Skidsteer Loader</t>
  </si>
  <si>
    <t>N215 - Dozer</t>
  </si>
  <si>
    <t>N223 - Scraper</t>
  </si>
  <si>
    <t>N224 - Landfill Compactor</t>
  </si>
  <si>
    <t>N240 - Grader</t>
  </si>
  <si>
    <t>N241 - Pay Welder</t>
  </si>
  <si>
    <t>N601 - Agricultural Tractor</t>
  </si>
  <si>
    <t>N726 - Quick Hitch Awareness</t>
  </si>
  <si>
    <t>N214 - Road Roller</t>
  </si>
  <si>
    <t>N216 - Road Planer</t>
  </si>
  <si>
    <t>N217 - Road Sweeper</t>
  </si>
  <si>
    <t>N220 - Paver</t>
  </si>
  <si>
    <t>N244 - Chipper</t>
  </si>
  <si>
    <t>N609 - Winching &amp; Recovery</t>
  </si>
  <si>
    <t>N802 - Gritter / Snowplough</t>
  </si>
  <si>
    <t>N027 - Excavation Marshal - Banksperson</t>
  </si>
  <si>
    <t>N029 - Refuse Collection Vehicle</t>
  </si>
  <si>
    <t>N120 - Plant Loader &amp; Securer</t>
  </si>
  <si>
    <t>N210 - Tow Tractor</t>
  </si>
  <si>
    <t>N219 - Skip Loader</t>
  </si>
  <si>
    <t>N225 - Multi Lift &amp; Drop – Hook Loader Vehicle</t>
  </si>
  <si>
    <t>N243 - Shunter Vehicle</t>
  </si>
  <si>
    <t>N607 - 4 x 4 Off Road Vehicle</t>
  </si>
  <si>
    <t>N608 - All-Terrain Vehicle</t>
  </si>
  <si>
    <t>N045 - Safe Use of Mobile Loading Ramps</t>
  </si>
  <si>
    <t>N017 - Abrasive Wheels – Hand Held Cut off Saw</t>
  </si>
  <si>
    <t>N025 - Concrete Cutting Chainsaw</t>
  </si>
  <si>
    <t>N301A - Abrasive Wheels Awareness</t>
  </si>
  <si>
    <t>N301 - Abrasive Wheels with Practical Cutting / Grinding</t>
  </si>
  <si>
    <t>N302 - Bench Saw</t>
  </si>
  <si>
    <t>N303 - Circular Saw</t>
  </si>
  <si>
    <t>N304 - Cable Avoidance Tool</t>
  </si>
  <si>
    <t>N602 - Chainsaw – Maintenance and Cross Cutting</t>
  </si>
  <si>
    <t>N603 - Wood Chipper / Shredder</t>
  </si>
  <si>
    <t>N604 - Grass Cutters / Mowers</t>
  </si>
  <si>
    <t>N605 - Strimmer / Brushcutter</t>
  </si>
  <si>
    <t>N606 - Stump Grinder</t>
  </si>
  <si>
    <t>N610 - Hand Held Hedge Trimmer</t>
  </si>
  <si>
    <t>N710 - Cartridge Tools</t>
  </si>
  <si>
    <t>N048 - Powered Handheld Breaker</t>
  </si>
  <si>
    <t>N033 - Puller Winch</t>
  </si>
  <si>
    <t>N038 - High Pressure Water Jetting</t>
  </si>
  <si>
    <t>N049 - Shoring (Install, Inspect, Remove)</t>
  </si>
  <si>
    <t>N050 - 3D GPS Machine Control System</t>
  </si>
  <si>
    <t>N015 - Soil Displacement Hammer</t>
  </si>
  <si>
    <t>N022 - Piling Rig Attendant</t>
  </si>
  <si>
    <t>N026 - Roll Crusher – Packer</t>
  </si>
  <si>
    <t>N130 - Horizontal Directional Drilling Rig</t>
  </si>
  <si>
    <t>N207 - Crusher</t>
  </si>
  <si>
    <t>N208 - Screener</t>
  </si>
  <si>
    <t>N211 - Concrete Pump (Mobile)</t>
  </si>
  <si>
    <t>N221 - Piling Rig</t>
  </si>
  <si>
    <t>N721 - Static Concrete Placing Boom</t>
  </si>
  <si>
    <t>N040 - Soil Stabiliser</t>
  </si>
  <si>
    <t>N041 - Post Rammer</t>
  </si>
  <si>
    <t>N031 - Asbestos Awareness</t>
  </si>
  <si>
    <t>N034 - Plant Supervisor Awareness</t>
  </si>
  <si>
    <t>N035 - MEWP Supervisor Awareness</t>
  </si>
  <si>
    <t>N036 - FLT Supervisor Awareness</t>
  </si>
  <si>
    <t>N132 - Plant Mover – Non Operational Duties</t>
  </si>
  <si>
    <t>N133 - Plant Machinery Marshal</t>
  </si>
  <si>
    <t>N403 - Vehicle Marshal</t>
  </si>
  <si>
    <t>N404 - Safe Working at Height</t>
  </si>
  <si>
    <t>N702A - Confined Spaces – Low Risk</t>
  </si>
  <si>
    <t>N702B - Confined Spaces – Medium Risk</t>
  </si>
  <si>
    <t>N702C - Confined Spaces – High Risk</t>
  </si>
  <si>
    <t>N703 - Fire Warden</t>
  </si>
  <si>
    <t>N704 - Manual Handling</t>
  </si>
  <si>
    <t>N711 - Safe Use of Ladders and Ladders</t>
  </si>
  <si>
    <t>N714 - Safety at Street and Road Works</t>
  </si>
  <si>
    <t>N723 - Harness and Fall Arrest</t>
  </si>
  <si>
    <t>John Test</t>
  </si>
  <si>
    <t>—</t>
  </si>
  <si>
    <t>Michael Turner</t>
  </si>
  <si>
    <t>Sarah Collins</t>
  </si>
  <si>
    <t>Daniel Harris</t>
  </si>
  <si>
    <t>Emma Foster</t>
  </si>
  <si>
    <t>Ryan Mitchell</t>
  </si>
  <si>
    <t>Chloe Bennett</t>
  </si>
  <si>
    <t>Jack Phillips</t>
  </si>
  <si>
    <t>Olivia Ward</t>
  </si>
  <si>
    <t>Training matrix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</si>
</sst>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33" borderId="12" xfId="0" applyFont="1" applyFill="1" applyBorder="1"/>
    <xf numFmtId="0" fontId="13" fillId="33" borderId="13" xfId="0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3" fillId="0" borderId="0" xfId="0" applyFont="1" applyFill="1" applyBorder="1"/>
    <xf numFmtId="0" fontId="13" fillId="0" borderId="11" xfId="0" applyFont="1" applyFill="1" applyBorder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numFmt numFmtId="19" formatCode="dd/mm/yyyy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CA7BB-8565-4109-8E25-F5272845F886}" name="CourseHeadersTable" displayName="CourseHeadersTable" ref="A21:DU30" totalsRowShown="0" headerRowDxfId="129" dataDxfId="128">
  <autoFilter ref="A21:DU30" xr:uid="{9CBCA7BB-8565-4109-8E25-F5272845F886}"/>
  <tableColumns count="125">
    <tableColumn id="125" xr3:uid="{E0A3D661-1A59-45C3-B6A1-CC90665546BE}" name="Name" dataDxfId="127"/>
    <tableColumn id="126" xr3:uid="{8F98D421-249F-4EFA-80E1-EF1C54611B33}" name="DOB" dataDxfId="126"/>
    <tableColumn id="127" xr3:uid="{7F717E4E-BD3E-4FDB-96B8-A8160B74039C}" name="CSCS Expiry" dataDxfId="125"/>
    <tableColumn id="128" xr3:uid="{52F8FBC5-70AF-4383-8D74-BBF05F659A3F}" name="SSSTS Expiry" dataDxfId="124"/>
    <tableColumn id="129" xr3:uid="{8073D50B-8991-4C9F-92B7-384E6AD99849}" name="SMSTS Expiry" dataDxfId="123"/>
    <tableColumn id="130" xr3:uid="{EC6B715F-EA81-4942-9394-AF679011162C}" name="NRSWA Expiry" dataDxfId="122"/>
    <tableColumn id="131" xr3:uid="{71B002CA-F966-4605-9210-792FE169AAD2}" name="EUSR Expiry" dataDxfId="121"/>
    <tableColumn id="1" xr3:uid="{56EB6D90-DE85-4E40-A2FC-144356F3B3C6}" name="N001 - Ind FLT" dataDxfId="120"/>
    <tableColumn id="2" xr3:uid="{30EC67F9-F96B-45AF-97DE-BCCB9D822009}" name="N003 - Reach Lift Truck" dataDxfId="119"/>
    <tableColumn id="3" xr3:uid="{C7B57379-7A4A-43F8-AEAE-1C13AFEA719D}" name="N004 - Lorry Mounted Lift Truck" dataDxfId="118"/>
    <tableColumn id="5" xr3:uid="{3B62F50E-E299-4AA0-BB49-1D44574F74A2}" name="N006 - Side Loader" dataDxfId="117"/>
    <tableColumn id="8" xr3:uid="{A3467B72-5838-4EB8-99F5-AB9A26E7C0CA}" name="N009 - Rough Terrain Lift Truck" dataDxfId="116"/>
    <tableColumn id="9" xr3:uid="{3F87F7C7-3B28-4BDF-9844-1AA28C197C78}" name="N010 - Telescopic Handler" dataDxfId="115"/>
    <tableColumn id="12" xr3:uid="{71B8F860-CBDA-4B4E-BB03-C9C14C0BA6EF}" name="N135 - Multi Di Lift Truck" dataDxfId="114"/>
    <tableColumn id="13" xr3:uid="{D72C50F1-BD63-465E-AF22-3397F4217CF0}" name="N108 - MEWP Boom" dataDxfId="113"/>
    <tableColumn id="14" xr3:uid="{A3108E67-0815-4D70-9495-5F25A5DEB9C5}" name="N109 - MEWP Scissor" dataDxfId="112"/>
    <tableColumn id="15" xr3:uid="{32F3E22F-D200-4C8E-950B-F6F4AA4F8352}" name="N111 - Hoist" dataDxfId="111"/>
    <tableColumn id="16" xr3:uid="{DD31A8A1-90C3-4A02-860F-417CAC437773}" name="N119 - Mast Climber" dataDxfId="110"/>
    <tableColumn id="17" xr3:uid="{EB6AB817-B94F-4787-AF15-C9226E83CAD7}" name="N706 - Mobile Towers" dataDxfId="109"/>
    <tableColumn id="18" xr3:uid="{38A68C75-99CB-472C-9240-5C5E74575B77}" name="N014 - Marine Knuckle Boom Crane" dataDxfId="108"/>
    <tableColumn id="19" xr3:uid="{7D964724-DEAE-4AA9-9468-09F1E7A1D489}" name="N019 - Report of  Thorough Exam" dataDxfId="107"/>
    <tableColumn id="20" xr3:uid="{1F66EBD5-CD0F-4775-96C3-8CA1EB58F5AB}" name="N039 - Plant Inspector – Thorough Exam" dataDxfId="106"/>
    <tableColumn id="21" xr3:uid="{DEAE9FCD-E6B3-4C7A-B001-9599CF022387}" name="N046 - Rigging Planner" dataDxfId="105"/>
    <tableColumn id="22" xr3:uid="{917925D0-6F47-473F-82D6-1A28863DADCA}" name="N047 - Rigging " dataDxfId="104"/>
    <tableColumn id="23" xr3:uid="{D96EF4E4-FFE7-4F04-B3A3-9DB59D934E3C}" name="N100 - Exc Crane " dataDxfId="103"/>
    <tableColumn id="24" xr3:uid="{0D2D6F14-2C6C-43AC-A07C-0750A13C86F0}" name="N101 - Mobile Crane" dataDxfId="102"/>
    <tableColumn id="25" xr3:uid="{36490F02-03BB-4B6E-AEB0-1A73BF251856}" name="N102 - Tower Crane" dataDxfId="101"/>
    <tableColumn id="26" xr3:uid="{E1B2813E-EF89-4304-898E-52F7E038AB08}" name="N103 - Crawler Crane" dataDxfId="100"/>
    <tableColumn id="27" xr3:uid="{6FE50BC1-7A5D-44BE-AA6D-6A42E6EF6910}" name="N104 - Overhead Crane" dataDxfId="99"/>
    <tableColumn id="28" xr3:uid="{A096F270-8488-4729-B33C-C3F1E74A19AD}" name="N105 - Quay Crane" dataDxfId="98"/>
    <tableColumn id="29" xr3:uid="{A24BEDA4-1839-4532-8C50-6BC15350710B}" name="N106 - Log Handler" dataDxfId="97"/>
    <tableColumn id="30" xr3:uid="{9EF47143-1A68-49D8-9E15-BC0809CDEA5A}" name="N107 - Lorry Loader" dataDxfId="96"/>
    <tableColumn id="31" xr3:uid="{104CD491-A996-470E-B5A1-D7E90874A9C0}" name="N114 - Overhead Container Gantry Crane" dataDxfId="95"/>
    <tableColumn id="32" xr3:uid="{2821B86C-8164-4A71-B578-E40616C66A18}" name="N115 - Remote Control Tower Crane" dataDxfId="94"/>
    <tableColumn id="34" xr3:uid="{F44F4C02-63D0-4672-92C3-62FABB7E0CBD}" name="N138 - Tele Suspended Loads " dataDxfId="93"/>
    <tableColumn id="35" xr3:uid="{BBF5F601-A007-4643-966C-7A794E6BB7CE}" name="N140 - Compact Crane" dataDxfId="92"/>
    <tableColumn id="36" xr3:uid="{60DE5C97-D89A-4BBC-9B01-452D76DB7BCB}" name="N242 - Side Boom" dataDxfId="91"/>
    <tableColumn id="37" xr3:uid="{4565FF37-261C-4C16-9520-FEBF2B509F48}" name="N401 - Appointed Person" dataDxfId="90"/>
    <tableColumn id="38" xr3:uid="{E3D3F867-DB89-4D11-9D34-64DCF6CA9317}" name="N402 - Slinger / Signaller" dataDxfId="89"/>
    <tableColumn id="39" xr3:uid="{FD4139B1-9C77-43F8-AF8E-B0DFE6AC406C}" name="N405 - Crane / Lift Supervisor" dataDxfId="88"/>
    <tableColumn id="40" xr3:uid="{7F22BB63-BD8B-4281-B508-06177E01DCEB}" name="N722 - Materials Re-Handler" dataDxfId="87"/>
    <tableColumn id="41" xr3:uid="{81AD1564-7EE7-4B47-83E7-2D65A956593E}" name="N016 - Micro Excavator 360° up to 1 Tonne" dataDxfId="86"/>
    <tableColumn id="42" xr3:uid="{F5299DC6-BA79-41B0-9CAA-A399D2408F40}" name="N020 - Tiltrotator System" dataDxfId="85"/>
    <tableColumn id="43" xr3:uid="{E88614FE-A6CE-4309-A42B-B48E2739E71A}" name="N021 - Suction Excavator" dataDxfId="84"/>
    <tableColumn id="44" xr3:uid="{E483B565-79AD-42B2-B80C-8886F0D837CF}" name="N030 - Machine Control Systems" dataDxfId="83"/>
    <tableColumn id="45" xr3:uid="{C745BF52-24FB-442D-8A40-5791CC81A034}" name="N116 - Dragline" dataDxfId="82"/>
    <tableColumn id="46" xr3:uid="{D9A3CE4A-56F5-47C2-BADD-B238C4FDB619}" name="N139 - Forward Tipping Mini Dumper up to 1 Tonne" dataDxfId="81"/>
    <tableColumn id="47" xr3:uid="{A335E713-D3B3-4902-A7EC-A0FAE4A4302F}" name="N201 - Excavator 180°" dataDxfId="80"/>
    <tableColumn id="48" xr3:uid="{644BFF00-5A02-4D22-97A9-A87263C0FC57}" name="N202 - Excavator 360°" dataDxfId="79"/>
    <tableColumn id="49" xr3:uid="{278E92EA-63B0-4A5C-BA30-D52BCE01B96B}" name="N203 - Trencher" dataDxfId="78"/>
    <tableColumn id="50" xr3:uid="{B87833BA-001B-4B7F-91D1-8C856ABB5166}" name="N204 - Forward Tipping Dumper" dataDxfId="77"/>
    <tableColumn id="51" xr3:uid="{3B88DA51-346D-48E6-AEF3-9DEBF170B224}" name="N205 - Rear Tipping Dumper" dataDxfId="76"/>
    <tableColumn id="52" xr3:uid="{A3FEBE61-8EEF-40E9-B7DE-E1A157D54FF3}" name="N206 - Loader Compressor" dataDxfId="75"/>
    <tableColumn id="53" xr3:uid="{A3A75BC0-B683-4A8D-8B2F-2AC8F906A1B6}" name="N209 - Loading Shovel" dataDxfId="74"/>
    <tableColumn id="54" xr3:uid="{A8EDE843-1494-4342-A03D-D96BC2D2C325}" name="N212 - Skidsteer Loader" dataDxfId="73"/>
    <tableColumn id="55" xr3:uid="{0ADE1471-F318-4DF5-BA17-2B6D04561811}" name="N215 - Dozer" dataDxfId="72"/>
    <tableColumn id="56" xr3:uid="{F9EB2504-422B-437A-9721-7E71E9DFF3E9}" name="N223 - Scraper" dataDxfId="71"/>
    <tableColumn id="57" xr3:uid="{DFF636D3-BCBD-4DA6-962F-85909AA8E0FF}" name="N224 - Landfill Compactor" dataDxfId="70"/>
    <tableColumn id="58" xr3:uid="{8600DC9B-5E36-473A-8668-5F4607013FD3}" name="N240 - Grader" dataDxfId="69"/>
    <tableColumn id="59" xr3:uid="{4CF688BE-FCDB-402F-AFBD-1E78FFB7C270}" name="N241 - Pay Welder" dataDxfId="68"/>
    <tableColumn id="60" xr3:uid="{EF889439-87D0-4A31-AE22-4CDD8A528A2D}" name="N601 - Agricultural Tractor" dataDxfId="67"/>
    <tableColumn id="61" xr3:uid="{579E517E-35B0-458C-9B74-9F7DF2BBA8C8}" name="N726 - Quick Hitch Awareness" dataDxfId="66"/>
    <tableColumn id="62" xr3:uid="{4F97545F-9E7A-4665-95A2-34D519EAF539}" name="N214 - Road Roller" dataDxfId="65"/>
    <tableColumn id="63" xr3:uid="{FCCBBE98-0D12-4FC9-9A82-AD7A09769307}" name="N216 - Road Planer" dataDxfId="64"/>
    <tableColumn id="64" xr3:uid="{F95DAF34-74D6-496E-ABEE-9F640FA2A70D}" name="N217 - Road Sweeper" dataDxfId="63"/>
    <tableColumn id="65" xr3:uid="{8117819C-2D9A-403B-AEA2-129F81139327}" name="N220 - Paver" dataDxfId="62"/>
    <tableColumn id="66" xr3:uid="{6B431BC1-9A81-4CB3-B734-65F4E326A330}" name="N244 - Chipper" dataDxfId="61"/>
    <tableColumn id="67" xr3:uid="{F57835EE-B5DF-41E6-8AB1-6A6F5C4D3FB2}" name="N609 - Winching &amp; Recovery" dataDxfId="60"/>
    <tableColumn id="68" xr3:uid="{66E9BA3E-5E02-474C-80A7-A92B27E5D5DB}" name="N802 - Gritter / Snowplough" dataDxfId="59"/>
    <tableColumn id="69" xr3:uid="{A551B44A-167F-4294-A688-79E277F2178B}" name="N027 - Excavation Marshal - Banksperson" dataDxfId="58"/>
    <tableColumn id="70" xr3:uid="{9EB51A8A-AB2E-405F-8BC2-63C96E5D448F}" name="N029 - Refuse Collection Vehicle" dataDxfId="57"/>
    <tableColumn id="71" xr3:uid="{763B535D-E74D-4E32-9BEF-DC7276743E9C}" name="N120 - Plant Loader &amp; Securer" dataDxfId="56"/>
    <tableColumn id="72" xr3:uid="{126D51BC-9C1D-4715-B7F3-C22E771809A9}" name="N210 - Tow Tractor" dataDxfId="55"/>
    <tableColumn id="73" xr3:uid="{33E97D93-3127-46A3-914F-61BE8AE20210}" name="N219 - Skip Loader" dataDxfId="54"/>
    <tableColumn id="74" xr3:uid="{B89BF1A2-9F77-47D8-B31E-9A63308CFADB}" name="N225 - Multi Lift &amp; Drop – Hook Loader Vehicle" dataDxfId="53"/>
    <tableColumn id="75" xr3:uid="{A73FCF53-A267-46DA-A490-DBAFA1D13C78}" name="N243 - Shunter Vehicle" dataDxfId="52"/>
    <tableColumn id="76" xr3:uid="{3DC2D162-7548-49D3-B3FB-F7BDFB7D09C6}" name="N607 - 4 x 4 Off Road Vehicle" dataDxfId="51"/>
    <tableColumn id="77" xr3:uid="{E90FC68C-302E-44A3-B913-18155813577F}" name="N608 - All-Terrain Vehicle" dataDxfId="50"/>
    <tableColumn id="78" xr3:uid="{DB8FFE46-8109-4925-8B6E-32ADAFDF4A75}" name="N045 - Safe Use of Mobile Loading Ramps" dataDxfId="49"/>
    <tableColumn id="79" xr3:uid="{31AA46EE-5D04-436E-B6DB-C545E7811CEC}" name="N017 - Abrasive Wheels – Hand Held Cut off Saw" dataDxfId="48"/>
    <tableColumn id="80" xr3:uid="{B1E4D787-62D4-49EC-817D-FB8F2572C9CD}" name="N025 - Concrete Cutting Chainsaw" dataDxfId="47"/>
    <tableColumn id="81" xr3:uid="{EC4172B5-4872-4EAB-ACCB-E0AFF9C10675}" name="N301A - Abrasive Wheels Awareness" dataDxfId="46"/>
    <tableColumn id="82" xr3:uid="{A6EAA714-A48C-4A80-86F2-2076B19457C9}" name="N301 - Abrasive Wheels with Practical Cutting / Grinding" dataDxfId="45"/>
    <tableColumn id="83" xr3:uid="{C254B8A6-3ABB-4419-B572-ABF288357F74}" name="N302 - Bench Saw" dataDxfId="44"/>
    <tableColumn id="84" xr3:uid="{00D4200F-108F-484E-8F90-1DE70EB3F1AA}" name="N303 - Circular Saw" dataDxfId="43"/>
    <tableColumn id="85" xr3:uid="{92C1F7A4-6B2D-4A4E-A746-1B1250D7CACF}" name="N304 - Cable Avoidance Tool" dataDxfId="42"/>
    <tableColumn id="86" xr3:uid="{B53A48CF-C2A5-4833-89CC-096354F0A7FF}" name="N602 - Chainsaw – Maintenance and Cross Cutting" dataDxfId="41"/>
    <tableColumn id="87" xr3:uid="{C4F87DC7-633C-4968-910A-FA46D1341B16}" name="N603 - Wood Chipper / Shredder" dataDxfId="40"/>
    <tableColumn id="88" xr3:uid="{953D6405-2EBF-4E55-B54E-8606EE2B0353}" name="N604 - Grass Cutters / Mowers" dataDxfId="39"/>
    <tableColumn id="89" xr3:uid="{980A1C3C-F795-45FE-91B0-F999B0492C6A}" name="N605 - Strimmer / Brushcutter" dataDxfId="38"/>
    <tableColumn id="90" xr3:uid="{5C8D2C1C-EFDF-4F02-A5F9-C55BB92476AB}" name="N606 - Stump Grinder" dataDxfId="37"/>
    <tableColumn id="91" xr3:uid="{E507719E-4390-4088-9687-C1E4C9BEBE30}" name="N610 - Hand Held Hedge Trimmer" dataDxfId="36"/>
    <tableColumn id="92" xr3:uid="{40402DD9-E1D2-4F47-8745-DA16DA257FF9}" name="N710 - Cartridge Tools" dataDxfId="35"/>
    <tableColumn id="93" xr3:uid="{303ECAE1-0AE0-41DC-9C65-3AD99C74107F}" name="N048 - Powered Handheld Breaker" dataDxfId="34"/>
    <tableColumn id="94" xr3:uid="{331D2353-0985-48DE-9E4F-6BA87D129A17}" name="N033 - Puller Winch" dataDxfId="33"/>
    <tableColumn id="95" xr3:uid="{2A07F9C5-1F28-4B45-B58E-437B6B86193B}" name="N038 - High Pressure Water Jetting" dataDxfId="32"/>
    <tableColumn id="96" xr3:uid="{718FAFAD-825D-43CA-9BF5-EF44D947EA6F}" name="N049 - Shoring (Install, Inspect, Remove)" dataDxfId="31"/>
    <tableColumn id="97" xr3:uid="{C024F202-B5BD-4F11-8B53-F1FFF8F10C86}" name="N050 - 3D GPS Machine Control System" dataDxfId="30"/>
    <tableColumn id="98" xr3:uid="{F5C1B376-E4CE-4AFC-8674-341F0964D121}" name="N015 - Soil Displacement Hammer" dataDxfId="29"/>
    <tableColumn id="99" xr3:uid="{41BA3E40-A8C1-409D-AD9C-69DAB298FCA5}" name="N022 - Piling Rig Attendant" dataDxfId="28"/>
    <tableColumn id="100" xr3:uid="{3874A709-FCE6-443D-99A6-751E6B001206}" name="N026 - Roll Crusher – Packer" dataDxfId="27"/>
    <tableColumn id="101" xr3:uid="{4B903447-710F-438D-B11B-A31964FDE634}" name="N130 - Horizontal Directional Drilling Rig" dataDxfId="26"/>
    <tableColumn id="102" xr3:uid="{08D4AF07-8117-4C99-A383-DBD3F9BA2668}" name="N207 - Crusher" dataDxfId="25"/>
    <tableColumn id="103" xr3:uid="{EDCA3435-B755-41D0-BA56-3693E0C1CE3B}" name="N208 - Screener" dataDxfId="24"/>
    <tableColumn id="104" xr3:uid="{3CCF866B-D1AE-4036-BEC4-39EFB6AC29DC}" name="N211 - Concrete Pump (Mobile)" dataDxfId="23"/>
    <tableColumn id="105" xr3:uid="{E399D51D-9A4B-49CE-9192-0F116F1D4835}" name="N221 - Piling Rig" dataDxfId="22"/>
    <tableColumn id="106" xr3:uid="{E187DF66-7A91-4CF6-ACB4-2CB56398A6E5}" name="N721 - Static Concrete Placing Boom" dataDxfId="21"/>
    <tableColumn id="107" xr3:uid="{0544B3EF-C2F1-41E3-B9EB-39DCD860C091}" name="N040 - Soil Stabiliser" dataDxfId="20"/>
    <tableColumn id="108" xr3:uid="{F16E18AC-8BD9-40F2-84FF-E714BBADCA6E}" name="N041 - Post Rammer" dataDxfId="19"/>
    <tableColumn id="109" xr3:uid="{FE3BA64F-9F5D-479B-8F5E-D36CCE079E65}" name="N031 - Asbestos Awareness" dataDxfId="18"/>
    <tableColumn id="110" xr3:uid="{E520DBF9-6ACB-4526-893A-11D700B996FB}" name="N034 - Plant Supervisor Awareness" dataDxfId="17"/>
    <tableColumn id="111" xr3:uid="{D4DDC74B-9877-4C7A-AB86-B79EFA127BBC}" name="N035 - MEWP Supervisor Awareness" dataDxfId="16"/>
    <tableColumn id="112" xr3:uid="{931CCAC8-7E7F-489C-8888-7248C93EB870}" name="N036 - FLT Supervisor Awareness" dataDxfId="15"/>
    <tableColumn id="113" xr3:uid="{E63C52D9-28E0-4E52-9F89-36F1D544B4A3}" name="N132 - Plant Mover – Non Operational Duties" dataDxfId="14"/>
    <tableColumn id="114" xr3:uid="{277F6505-ACBE-4585-80D0-1C439D3120C4}" name="N133 - Plant Machinery Marshal" dataDxfId="13"/>
    <tableColumn id="115" xr3:uid="{15147C1E-485F-4587-8BE7-74B581E61AC8}" name="N403 - Vehicle Marshal" dataDxfId="12"/>
    <tableColumn id="116" xr3:uid="{4950250B-8B87-40E0-B831-CE6FA1CDDCCB}" name="N404 - Safe Working at Height" dataDxfId="11"/>
    <tableColumn id="117" xr3:uid="{EB7671E6-9A9D-4723-80BC-931E7B6DB9D7}" name="N702A - Confined Spaces – Low Risk" dataDxfId="10"/>
    <tableColumn id="118" xr3:uid="{E8F5706C-8FEB-4821-B65B-2D9A154ABD41}" name="N702B - Confined Spaces – Medium Risk" dataDxfId="9"/>
    <tableColumn id="119" xr3:uid="{403E1E0C-8D63-4419-8ABE-C5DF94FD1B2A}" name="N702C - Confined Spaces – High Risk" dataDxfId="8"/>
    <tableColumn id="120" xr3:uid="{C7B7DA52-D122-4473-A6EC-F6B1366831C5}" name="N703 - Fire Warden" dataDxfId="7"/>
    <tableColumn id="121" xr3:uid="{817C8CD0-9421-4FC1-8FCC-CAB89FCF82CA}" name="N704 - Manual Handling" dataDxfId="6"/>
    <tableColumn id="122" xr3:uid="{0365F5E8-69F8-44AB-A671-786ABDF160A0}" name="N711 - Safe Use of Ladders and Ladders" dataDxfId="5"/>
    <tableColumn id="123" xr3:uid="{BFF88FF7-A1A9-46D2-939D-4840515F6E97}" name="N714 - Safety at Street and Road Works" dataDxfId="4"/>
    <tableColumn id="124" xr3:uid="{B8255182-CE08-46D2-8DDB-58AA3EB2B674}" name="N723 - Harness and Fall Arres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7195-D24A-46E8-92DB-D12295D3B003}">
  <dimension ref="A1:DU30"/>
  <sheetViews>
    <sheetView tabSelected="1" workbookViewId="0">
      <selection activeCell="H7" sqref="H7"/>
    </sheetView>
  </sheetViews>
  <sheetFormatPr defaultRowHeight="15" x14ac:dyDescent="0.25"/>
  <cols>
    <col min="1" max="1" width="31.140625" bestFit="1" customWidth="1"/>
    <col min="2" max="2" width="18.42578125" bestFit="1" customWidth="1"/>
    <col min="3" max="3" width="17.7109375" bestFit="1" customWidth="1"/>
    <col min="4" max="4" width="19.85546875" bestFit="1" customWidth="1"/>
    <col min="5" max="5" width="29.28515625" bestFit="1" customWidth="1"/>
    <col min="6" max="6" width="38.140625" bestFit="1" customWidth="1"/>
    <col min="7" max="7" width="39.28515625" bestFit="1" customWidth="1"/>
    <col min="8" max="8" width="39.140625" bestFit="1" customWidth="1"/>
    <col min="9" max="9" width="18" bestFit="1" customWidth="1"/>
    <col min="10" max="10" width="14.5703125" bestFit="1" customWidth="1"/>
    <col min="11" max="11" width="13" bestFit="1" customWidth="1"/>
    <col min="12" max="12" width="17.5703125" bestFit="1" customWidth="1"/>
    <col min="13" max="13" width="16.28515625" bestFit="1" customWidth="1"/>
    <col min="14" max="14" width="13.7109375" bestFit="1" customWidth="1"/>
    <col min="15" max="15" width="16.85546875" bestFit="1" customWidth="1"/>
    <col min="16" max="16" width="13.7109375" bestFit="1" customWidth="1"/>
    <col min="17" max="17" width="16" bestFit="1" customWidth="1"/>
    <col min="18" max="18" width="13.28515625" bestFit="1" customWidth="1"/>
    <col min="19" max="19" width="31.42578125" bestFit="1" customWidth="1"/>
    <col min="20" max="20" width="12.140625" bestFit="1" customWidth="1"/>
    <col min="21" max="21" width="51.140625" bestFit="1" customWidth="1"/>
  </cols>
  <sheetData>
    <row r="1" spans="1:19" x14ac:dyDescent="0.25">
      <c r="F1" s="4" t="s">
        <v>30</v>
      </c>
      <c r="G1" s="4"/>
      <c r="H1" s="4"/>
    </row>
    <row r="2" spans="1:19" x14ac:dyDescent="0.25">
      <c r="A2" t="s">
        <v>13</v>
      </c>
      <c r="B2" t="s">
        <v>3</v>
      </c>
      <c r="C2" t="s">
        <v>19</v>
      </c>
      <c r="D2" t="s">
        <v>20</v>
      </c>
      <c r="E2" t="s">
        <v>21</v>
      </c>
      <c r="F2" s="3" t="s">
        <v>22</v>
      </c>
      <c r="G2" s="3" t="s">
        <v>23</v>
      </c>
      <c r="H2" s="3" t="s">
        <v>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1:19" x14ac:dyDescent="0.25">
      <c r="F3" s="4" t="s">
        <v>31</v>
      </c>
      <c r="G3" s="4"/>
      <c r="H3" s="4"/>
    </row>
    <row r="4" spans="1:19" x14ac:dyDescent="0.25">
      <c r="A4" s="5" t="s">
        <v>0</v>
      </c>
      <c r="B4" s="6" t="s">
        <v>1</v>
      </c>
      <c r="C4" s="6" t="s">
        <v>3</v>
      </c>
      <c r="D4" s="6" t="s">
        <v>13</v>
      </c>
      <c r="E4" s="6" t="s">
        <v>11</v>
      </c>
      <c r="F4" s="6" t="s">
        <v>12</v>
      </c>
      <c r="G4" s="6" t="s">
        <v>2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17</v>
      </c>
      <c r="M4" s="6" t="s">
        <v>14</v>
      </c>
      <c r="N4" s="6" t="s">
        <v>8</v>
      </c>
      <c r="O4" s="6" t="s">
        <v>15</v>
      </c>
      <c r="P4" s="6" t="s">
        <v>9</v>
      </c>
      <c r="Q4" s="6" t="s">
        <v>16</v>
      </c>
      <c r="R4" s="6" t="s">
        <v>10</v>
      </c>
      <c r="S4" s="6" t="s">
        <v>18</v>
      </c>
    </row>
    <row r="5" spans="1:19" x14ac:dyDescent="0.25">
      <c r="F5" s="7" t="s">
        <v>41</v>
      </c>
      <c r="G5" s="7"/>
      <c r="H5" s="7"/>
    </row>
    <row r="6" spans="1:19" x14ac:dyDescent="0.25">
      <c r="A6" s="1" t="s">
        <v>1</v>
      </c>
      <c r="B6" s="2" t="s">
        <v>17</v>
      </c>
      <c r="C6" s="2" t="s">
        <v>3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7</v>
      </c>
      <c r="J6" s="2" t="s">
        <v>37</v>
      </c>
      <c r="K6" s="2" t="s">
        <v>38</v>
      </c>
      <c r="L6" s="2" t="s">
        <v>39</v>
      </c>
      <c r="M6" s="2" t="s">
        <v>40</v>
      </c>
    </row>
    <row r="7" spans="1:19" s="17" customFormat="1" x14ac:dyDescent="0.25">
      <c r="A7" s="15"/>
      <c r="B7" s="15"/>
      <c r="C7" s="15"/>
      <c r="D7" s="15"/>
      <c r="E7" s="15"/>
      <c r="F7" s="16"/>
      <c r="G7" s="16"/>
      <c r="H7" s="16"/>
      <c r="I7" s="15"/>
      <c r="J7" s="15"/>
      <c r="K7" s="15"/>
      <c r="L7" s="15"/>
      <c r="M7" s="15"/>
    </row>
    <row r="8" spans="1:19" x14ac:dyDescent="0.25">
      <c r="F8" s="8" t="s">
        <v>47</v>
      </c>
      <c r="G8" s="8"/>
      <c r="H8" s="8"/>
    </row>
    <row r="9" spans="1:19" x14ac:dyDescent="0.25">
      <c r="A9" s="1" t="s">
        <v>1</v>
      </c>
      <c r="B9" s="2" t="s">
        <v>16</v>
      </c>
      <c r="C9" s="2" t="s">
        <v>7</v>
      </c>
      <c r="D9" s="2" t="s">
        <v>32</v>
      </c>
      <c r="E9" s="2" t="s">
        <v>42</v>
      </c>
      <c r="F9" s="2" t="s">
        <v>43</v>
      </c>
      <c r="G9" s="2" t="s">
        <v>44</v>
      </c>
      <c r="H9" s="2" t="s">
        <v>37</v>
      </c>
      <c r="I9" s="2" t="s">
        <v>45</v>
      </c>
      <c r="J9" s="2" t="s">
        <v>46</v>
      </c>
    </row>
    <row r="10" spans="1:19" s="17" customFormat="1" x14ac:dyDescent="0.25">
      <c r="A10" s="15"/>
      <c r="B10" s="15"/>
      <c r="C10" s="15"/>
      <c r="D10" s="15"/>
      <c r="E10" s="15"/>
      <c r="F10" s="16"/>
      <c r="G10" s="16"/>
      <c r="H10" s="16"/>
      <c r="I10" s="15"/>
      <c r="J10" s="15"/>
    </row>
    <row r="11" spans="1:19" x14ac:dyDescent="0.25">
      <c r="F11" s="8" t="s">
        <v>54</v>
      </c>
      <c r="G11" s="8"/>
      <c r="H11" s="8"/>
    </row>
    <row r="12" spans="1:19" x14ac:dyDescent="0.25">
      <c r="A12" s="1" t="s">
        <v>1</v>
      </c>
      <c r="B12" s="2" t="s">
        <v>15</v>
      </c>
      <c r="C12" s="2" t="s">
        <v>7</v>
      </c>
      <c r="D12" s="2" t="s">
        <v>32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53</v>
      </c>
    </row>
    <row r="13" spans="1:19" x14ac:dyDescent="0.25">
      <c r="F13" s="8" t="s">
        <v>62</v>
      </c>
      <c r="G13" s="8"/>
      <c r="H13" s="8"/>
    </row>
    <row r="14" spans="1:19" x14ac:dyDescent="0.25">
      <c r="A14" s="1" t="s">
        <v>1</v>
      </c>
      <c r="B14" s="2" t="s">
        <v>55</v>
      </c>
      <c r="C14" s="2" t="s">
        <v>3</v>
      </c>
      <c r="D14" s="2" t="s">
        <v>56</v>
      </c>
      <c r="E14" s="2" t="s">
        <v>57</v>
      </c>
      <c r="F14" s="2" t="s">
        <v>58</v>
      </c>
      <c r="G14" s="2" t="s">
        <v>59</v>
      </c>
      <c r="H14" s="2" t="s">
        <v>60</v>
      </c>
      <c r="I14" s="2" t="s">
        <v>53</v>
      </c>
      <c r="J14" s="2" t="s">
        <v>61</v>
      </c>
    </row>
    <row r="15" spans="1:19" x14ac:dyDescent="0.25">
      <c r="F15" s="8" t="s">
        <v>80</v>
      </c>
      <c r="G15" s="8"/>
      <c r="H15" s="8"/>
    </row>
    <row r="16" spans="1:19" x14ac:dyDescent="0.25">
      <c r="A16" s="1" t="s">
        <v>1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67</v>
      </c>
      <c r="G16" s="2" t="s">
        <v>68</v>
      </c>
      <c r="H16" s="2" t="s">
        <v>69</v>
      </c>
      <c r="I16" s="2" t="s">
        <v>70</v>
      </c>
      <c r="J16" s="2" t="s">
        <v>71</v>
      </c>
      <c r="K16" s="2" t="s">
        <v>72</v>
      </c>
      <c r="L16" s="2" t="s">
        <v>73</v>
      </c>
      <c r="M16" s="2" t="s">
        <v>74</v>
      </c>
      <c r="N16" s="2" t="s">
        <v>75</v>
      </c>
      <c r="O16" s="2" t="s">
        <v>76</v>
      </c>
      <c r="P16" s="2" t="s">
        <v>77</v>
      </c>
      <c r="Q16" s="2" t="s">
        <v>61</v>
      </c>
      <c r="R16" s="2" t="s">
        <v>78</v>
      </c>
      <c r="S16" s="2" t="s">
        <v>79</v>
      </c>
    </row>
    <row r="20" spans="1:125" x14ac:dyDescent="0.25">
      <c r="F20" s="4" t="s">
        <v>216</v>
      </c>
      <c r="G20" s="4"/>
      <c r="H20" s="4"/>
    </row>
    <row r="21" spans="1:125" ht="105" x14ac:dyDescent="0.25">
      <c r="A21" s="9" t="s">
        <v>81</v>
      </c>
      <c r="B21" s="9" t="s">
        <v>82</v>
      </c>
      <c r="C21" s="9" t="s">
        <v>83</v>
      </c>
      <c r="D21" s="9" t="s">
        <v>84</v>
      </c>
      <c r="E21" s="9" t="s">
        <v>85</v>
      </c>
      <c r="F21" s="9" t="s">
        <v>86</v>
      </c>
      <c r="G21" s="9" t="s">
        <v>87</v>
      </c>
      <c r="H21" s="10" t="s">
        <v>88</v>
      </c>
      <c r="I21" s="10" t="s">
        <v>89</v>
      </c>
      <c r="J21" s="10" t="s">
        <v>90</v>
      </c>
      <c r="K21" s="10" t="s">
        <v>91</v>
      </c>
      <c r="L21" s="10" t="s">
        <v>92</v>
      </c>
      <c r="M21" s="10" t="s">
        <v>93</v>
      </c>
      <c r="N21" s="10" t="s">
        <v>94</v>
      </c>
      <c r="O21" s="10" t="s">
        <v>95</v>
      </c>
      <c r="P21" s="10" t="s">
        <v>96</v>
      </c>
      <c r="Q21" s="10" t="s">
        <v>97</v>
      </c>
      <c r="R21" s="10" t="s">
        <v>98</v>
      </c>
      <c r="S21" s="10" t="s">
        <v>99</v>
      </c>
      <c r="T21" s="10" t="s">
        <v>100</v>
      </c>
      <c r="U21" s="10" t="s">
        <v>101</v>
      </c>
      <c r="V21" s="10" t="s">
        <v>102</v>
      </c>
      <c r="W21" s="10" t="s">
        <v>103</v>
      </c>
      <c r="X21" s="10" t="s">
        <v>104</v>
      </c>
      <c r="Y21" s="10" t="s">
        <v>105</v>
      </c>
      <c r="Z21" s="10" t="s">
        <v>106</v>
      </c>
      <c r="AA21" s="10" t="s">
        <v>107</v>
      </c>
      <c r="AB21" s="10" t="s">
        <v>108</v>
      </c>
      <c r="AC21" s="10" t="s">
        <v>109</v>
      </c>
      <c r="AD21" s="10" t="s">
        <v>110</v>
      </c>
      <c r="AE21" s="10" t="s">
        <v>111</v>
      </c>
      <c r="AF21" s="10" t="s">
        <v>112</v>
      </c>
      <c r="AG21" s="10" t="s">
        <v>113</v>
      </c>
      <c r="AH21" s="10" t="s">
        <v>114</v>
      </c>
      <c r="AI21" s="10" t="s">
        <v>115</v>
      </c>
      <c r="AJ21" s="10" t="s">
        <v>116</v>
      </c>
      <c r="AK21" s="10" t="s">
        <v>117</v>
      </c>
      <c r="AL21" s="10" t="s">
        <v>118</v>
      </c>
      <c r="AM21" s="10" t="s">
        <v>119</v>
      </c>
      <c r="AN21" s="10" t="s">
        <v>120</v>
      </c>
      <c r="AO21" s="10" t="s">
        <v>121</v>
      </c>
      <c r="AP21" s="10" t="s">
        <v>122</v>
      </c>
      <c r="AQ21" s="10" t="s">
        <v>123</v>
      </c>
      <c r="AR21" s="10" t="s">
        <v>124</v>
      </c>
      <c r="AS21" s="10" t="s">
        <v>125</v>
      </c>
      <c r="AT21" s="10" t="s">
        <v>126</v>
      </c>
      <c r="AU21" s="10" t="s">
        <v>127</v>
      </c>
      <c r="AV21" s="10" t="s">
        <v>128</v>
      </c>
      <c r="AW21" s="10" t="s">
        <v>129</v>
      </c>
      <c r="AX21" s="10" t="s">
        <v>130</v>
      </c>
      <c r="AY21" s="10" t="s">
        <v>131</v>
      </c>
      <c r="AZ21" s="10" t="s">
        <v>132</v>
      </c>
      <c r="BA21" s="10" t="s">
        <v>133</v>
      </c>
      <c r="BB21" s="10" t="s">
        <v>134</v>
      </c>
      <c r="BC21" s="10" t="s">
        <v>135</v>
      </c>
      <c r="BD21" s="10" t="s">
        <v>136</v>
      </c>
      <c r="BE21" s="10" t="s">
        <v>137</v>
      </c>
      <c r="BF21" s="10" t="s">
        <v>138</v>
      </c>
      <c r="BG21" s="10" t="s">
        <v>139</v>
      </c>
      <c r="BH21" s="10" t="s">
        <v>140</v>
      </c>
      <c r="BI21" s="10" t="s">
        <v>141</v>
      </c>
      <c r="BJ21" s="10" t="s">
        <v>142</v>
      </c>
      <c r="BK21" s="10" t="s">
        <v>143</v>
      </c>
      <c r="BL21" s="10" t="s">
        <v>144</v>
      </c>
      <c r="BM21" s="10" t="s">
        <v>145</v>
      </c>
      <c r="BN21" s="10" t="s">
        <v>146</v>
      </c>
      <c r="BO21" s="10" t="s">
        <v>147</v>
      </c>
      <c r="BP21" s="10" t="s">
        <v>148</v>
      </c>
      <c r="BQ21" s="10" t="s">
        <v>149</v>
      </c>
      <c r="BR21" s="10" t="s">
        <v>150</v>
      </c>
      <c r="BS21" s="10" t="s">
        <v>151</v>
      </c>
      <c r="BT21" s="10" t="s">
        <v>152</v>
      </c>
      <c r="BU21" s="10" t="s">
        <v>153</v>
      </c>
      <c r="BV21" s="10" t="s">
        <v>154</v>
      </c>
      <c r="BW21" s="10" t="s">
        <v>155</v>
      </c>
      <c r="BX21" s="10" t="s">
        <v>156</v>
      </c>
      <c r="BY21" s="10" t="s">
        <v>157</v>
      </c>
      <c r="BZ21" s="10" t="s">
        <v>158</v>
      </c>
      <c r="CA21" s="10" t="s">
        <v>159</v>
      </c>
      <c r="CB21" s="10" t="s">
        <v>160</v>
      </c>
      <c r="CC21" s="10" t="s">
        <v>161</v>
      </c>
      <c r="CD21" s="10" t="s">
        <v>162</v>
      </c>
      <c r="CE21" s="10" t="s">
        <v>163</v>
      </c>
      <c r="CF21" s="10" t="s">
        <v>164</v>
      </c>
      <c r="CG21" s="10" t="s">
        <v>165</v>
      </c>
      <c r="CH21" s="10" t="s">
        <v>166</v>
      </c>
      <c r="CI21" s="10" t="s">
        <v>167</v>
      </c>
      <c r="CJ21" s="10" t="s">
        <v>168</v>
      </c>
      <c r="CK21" s="10" t="s">
        <v>169</v>
      </c>
      <c r="CL21" s="10" t="s">
        <v>170</v>
      </c>
      <c r="CM21" s="10" t="s">
        <v>171</v>
      </c>
      <c r="CN21" s="10" t="s">
        <v>172</v>
      </c>
      <c r="CO21" s="10" t="s">
        <v>173</v>
      </c>
      <c r="CP21" s="10" t="s">
        <v>174</v>
      </c>
      <c r="CQ21" s="10" t="s">
        <v>175</v>
      </c>
      <c r="CR21" s="10" t="s">
        <v>176</v>
      </c>
      <c r="CS21" s="10" t="s">
        <v>177</v>
      </c>
      <c r="CT21" s="10" t="s">
        <v>178</v>
      </c>
      <c r="CU21" s="10" t="s">
        <v>179</v>
      </c>
      <c r="CV21" s="10" t="s">
        <v>180</v>
      </c>
      <c r="CW21" s="10" t="s">
        <v>181</v>
      </c>
      <c r="CX21" s="10" t="s">
        <v>182</v>
      </c>
      <c r="CY21" s="10" t="s">
        <v>183</v>
      </c>
      <c r="CZ21" s="10" t="s">
        <v>184</v>
      </c>
      <c r="DA21" s="10" t="s">
        <v>185</v>
      </c>
      <c r="DB21" s="10" t="s">
        <v>186</v>
      </c>
      <c r="DC21" s="10" t="s">
        <v>187</v>
      </c>
      <c r="DD21" s="10" t="s">
        <v>188</v>
      </c>
      <c r="DE21" s="10" t="s">
        <v>189</v>
      </c>
      <c r="DF21" s="10" t="s">
        <v>190</v>
      </c>
      <c r="DG21" s="10" t="s">
        <v>191</v>
      </c>
      <c r="DH21" s="10" t="s">
        <v>192</v>
      </c>
      <c r="DI21" s="10" t="s">
        <v>193</v>
      </c>
      <c r="DJ21" s="10" t="s">
        <v>194</v>
      </c>
      <c r="DK21" s="10" t="s">
        <v>195</v>
      </c>
      <c r="DL21" s="10" t="s">
        <v>196</v>
      </c>
      <c r="DM21" s="10" t="s">
        <v>197</v>
      </c>
      <c r="DN21" s="10" t="s">
        <v>198</v>
      </c>
      <c r="DO21" s="10" t="s">
        <v>199</v>
      </c>
      <c r="DP21" s="10" t="s">
        <v>200</v>
      </c>
      <c r="DQ21" s="10" t="s">
        <v>201</v>
      </c>
      <c r="DR21" s="10" t="s">
        <v>202</v>
      </c>
      <c r="DS21" s="10" t="s">
        <v>203</v>
      </c>
      <c r="DT21" s="10" t="s">
        <v>204</v>
      </c>
      <c r="DU21" s="10" t="s">
        <v>205</v>
      </c>
    </row>
    <row r="22" spans="1:125" x14ac:dyDescent="0.25">
      <c r="A22" s="11" t="s">
        <v>206</v>
      </c>
      <c r="B22" s="12">
        <v>36185</v>
      </c>
      <c r="C22" s="12"/>
      <c r="D22" s="12"/>
      <c r="E22" s="12"/>
      <c r="F22" s="12"/>
      <c r="G22" s="12"/>
      <c r="H22" s="13" t="s">
        <v>207</v>
      </c>
      <c r="I22" s="13" t="s">
        <v>207</v>
      </c>
      <c r="J22" s="13" t="s">
        <v>207</v>
      </c>
      <c r="K22" s="13" t="s">
        <v>207</v>
      </c>
      <c r="L22" s="13" t="s">
        <v>207</v>
      </c>
      <c r="M22" s="13" t="s">
        <v>207</v>
      </c>
      <c r="N22" s="13" t="s">
        <v>207</v>
      </c>
      <c r="O22" s="13" t="s">
        <v>207</v>
      </c>
      <c r="P22" s="13" t="s">
        <v>207</v>
      </c>
      <c r="Q22" s="13" t="s">
        <v>207</v>
      </c>
      <c r="R22" s="13" t="s">
        <v>207</v>
      </c>
      <c r="S22" s="13" t="s">
        <v>207</v>
      </c>
      <c r="T22" s="13" t="s">
        <v>207</v>
      </c>
      <c r="U22" s="13" t="s">
        <v>207</v>
      </c>
      <c r="V22" s="13" t="s">
        <v>207</v>
      </c>
      <c r="W22" s="13" t="s">
        <v>207</v>
      </c>
      <c r="X22" s="13" t="s">
        <v>207</v>
      </c>
      <c r="Y22" s="13" t="s">
        <v>207</v>
      </c>
      <c r="Z22" s="13" t="s">
        <v>207</v>
      </c>
      <c r="AA22" s="13" t="s">
        <v>207</v>
      </c>
      <c r="AB22" s="13" t="s">
        <v>207</v>
      </c>
      <c r="AC22" s="13" t="s">
        <v>207</v>
      </c>
      <c r="AD22" s="13" t="s">
        <v>207</v>
      </c>
      <c r="AE22" s="13" t="s">
        <v>207</v>
      </c>
      <c r="AF22" s="13" t="s">
        <v>207</v>
      </c>
      <c r="AG22" s="13" t="s">
        <v>207</v>
      </c>
      <c r="AH22" s="13" t="s">
        <v>207</v>
      </c>
      <c r="AI22" s="13" t="s">
        <v>207</v>
      </c>
      <c r="AJ22" s="13" t="s">
        <v>207</v>
      </c>
      <c r="AK22" s="13" t="s">
        <v>207</v>
      </c>
      <c r="AL22" s="13" t="s">
        <v>207</v>
      </c>
      <c r="AM22" s="13" t="s">
        <v>207</v>
      </c>
      <c r="AN22" s="13" t="s">
        <v>207</v>
      </c>
      <c r="AO22" s="13" t="s">
        <v>207</v>
      </c>
      <c r="AP22" s="13" t="s">
        <v>207</v>
      </c>
      <c r="AQ22" s="13" t="s">
        <v>207</v>
      </c>
      <c r="AR22" s="13" t="s">
        <v>207</v>
      </c>
      <c r="AS22" s="13" t="s">
        <v>207</v>
      </c>
      <c r="AT22" s="13" t="s">
        <v>207</v>
      </c>
      <c r="AU22" s="13" t="s">
        <v>207</v>
      </c>
      <c r="AV22" s="13" t="s">
        <v>207</v>
      </c>
      <c r="AW22" s="13" t="s">
        <v>207</v>
      </c>
      <c r="AX22" s="13" t="s">
        <v>207</v>
      </c>
      <c r="AY22" s="13" t="s">
        <v>207</v>
      </c>
      <c r="AZ22" s="13" t="s">
        <v>207</v>
      </c>
      <c r="BA22" s="13" t="s">
        <v>207</v>
      </c>
      <c r="BB22" s="13" t="s">
        <v>207</v>
      </c>
      <c r="BC22" s="13" t="s">
        <v>207</v>
      </c>
      <c r="BD22" s="13" t="s">
        <v>207</v>
      </c>
      <c r="BE22" s="13" t="s">
        <v>207</v>
      </c>
      <c r="BF22" s="13" t="s">
        <v>207</v>
      </c>
      <c r="BG22" s="13" t="s">
        <v>207</v>
      </c>
      <c r="BH22" s="13" t="s">
        <v>207</v>
      </c>
      <c r="BI22" s="13" t="s">
        <v>207</v>
      </c>
      <c r="BJ22" s="13" t="s">
        <v>207</v>
      </c>
      <c r="BK22" s="13" t="s">
        <v>207</v>
      </c>
      <c r="BL22" s="13" t="s">
        <v>207</v>
      </c>
      <c r="BM22" s="13" t="s">
        <v>207</v>
      </c>
      <c r="BN22" s="13" t="s">
        <v>207</v>
      </c>
      <c r="BO22" s="13" t="s">
        <v>207</v>
      </c>
      <c r="BP22" s="13" t="s">
        <v>207</v>
      </c>
      <c r="BQ22" s="13" t="s">
        <v>207</v>
      </c>
      <c r="BR22" s="13" t="s">
        <v>207</v>
      </c>
      <c r="BS22" s="13" t="s">
        <v>207</v>
      </c>
      <c r="BT22" s="13" t="s">
        <v>207</v>
      </c>
      <c r="BU22" s="13" t="s">
        <v>207</v>
      </c>
      <c r="BV22" s="13" t="s">
        <v>207</v>
      </c>
      <c r="BW22" s="13" t="s">
        <v>207</v>
      </c>
      <c r="BX22" s="13" t="s">
        <v>207</v>
      </c>
      <c r="BY22" s="13" t="s">
        <v>207</v>
      </c>
      <c r="BZ22" s="13" t="s">
        <v>207</v>
      </c>
      <c r="CA22" s="13" t="s">
        <v>207</v>
      </c>
      <c r="CB22" s="13" t="s">
        <v>207</v>
      </c>
      <c r="CC22" s="13" t="s">
        <v>207</v>
      </c>
      <c r="CD22" s="13" t="s">
        <v>207</v>
      </c>
      <c r="CE22" s="13" t="s">
        <v>207</v>
      </c>
      <c r="CF22" s="13" t="s">
        <v>207</v>
      </c>
      <c r="CG22" s="13" t="s">
        <v>207</v>
      </c>
      <c r="CH22" s="13" t="s">
        <v>207</v>
      </c>
      <c r="CI22" s="13" t="s">
        <v>207</v>
      </c>
      <c r="CJ22" s="13" t="s">
        <v>207</v>
      </c>
      <c r="CK22" s="13" t="s">
        <v>207</v>
      </c>
      <c r="CL22" s="13" t="s">
        <v>207</v>
      </c>
      <c r="CM22" s="13" t="s">
        <v>207</v>
      </c>
      <c r="CN22" s="13" t="s">
        <v>207</v>
      </c>
      <c r="CO22" s="13" t="s">
        <v>207</v>
      </c>
      <c r="CP22" s="13" t="s">
        <v>207</v>
      </c>
      <c r="CQ22" s="13" t="s">
        <v>207</v>
      </c>
      <c r="CR22" s="13" t="s">
        <v>207</v>
      </c>
      <c r="CS22" s="13" t="s">
        <v>207</v>
      </c>
      <c r="CT22" s="13" t="s">
        <v>207</v>
      </c>
      <c r="CU22" s="13" t="s">
        <v>207</v>
      </c>
      <c r="CV22" s="13" t="s">
        <v>207</v>
      </c>
      <c r="CW22" s="13" t="s">
        <v>207</v>
      </c>
      <c r="CX22" s="13" t="s">
        <v>207</v>
      </c>
      <c r="CY22" s="13" t="s">
        <v>207</v>
      </c>
      <c r="CZ22" s="13" t="s">
        <v>207</v>
      </c>
      <c r="DA22" s="13" t="s">
        <v>207</v>
      </c>
      <c r="DB22" s="13" t="s">
        <v>207</v>
      </c>
      <c r="DC22" s="13" t="s">
        <v>207</v>
      </c>
      <c r="DD22" s="13" t="s">
        <v>207</v>
      </c>
      <c r="DE22" s="13" t="s">
        <v>207</v>
      </c>
      <c r="DF22" s="13" t="s">
        <v>207</v>
      </c>
      <c r="DG22" s="13" t="s">
        <v>207</v>
      </c>
      <c r="DH22" s="13" t="s">
        <v>207</v>
      </c>
      <c r="DI22" s="13" t="s">
        <v>207</v>
      </c>
      <c r="DJ22" s="13" t="s">
        <v>207</v>
      </c>
      <c r="DK22" s="13" t="s">
        <v>207</v>
      </c>
      <c r="DL22" s="13" t="s">
        <v>207</v>
      </c>
      <c r="DM22" s="13" t="s">
        <v>207</v>
      </c>
      <c r="DN22" s="13" t="s">
        <v>207</v>
      </c>
      <c r="DO22" s="13" t="s">
        <v>207</v>
      </c>
      <c r="DP22" s="13" t="s">
        <v>207</v>
      </c>
      <c r="DQ22" s="13" t="s">
        <v>207</v>
      </c>
      <c r="DR22" s="13" t="s">
        <v>207</v>
      </c>
      <c r="DS22" s="13" t="s">
        <v>207</v>
      </c>
      <c r="DT22" s="13" t="s">
        <v>207</v>
      </c>
      <c r="DU22" s="13" t="s">
        <v>207</v>
      </c>
    </row>
    <row r="23" spans="1:125" x14ac:dyDescent="0.25">
      <c r="A23" s="11" t="s">
        <v>208</v>
      </c>
      <c r="B23" s="12">
        <f>DATE(1990,3,14)</f>
        <v>32946</v>
      </c>
      <c r="C23" s="12">
        <f ca="1">EDATE(TODAY(),1)</f>
        <v>46245</v>
      </c>
      <c r="D23" s="12">
        <f ca="1">EDATE(TODAY(),2)</f>
        <v>46276</v>
      </c>
      <c r="E23" s="12">
        <f ca="1">EDATE(TODAY(),3)</f>
        <v>46306</v>
      </c>
      <c r="F23" s="12">
        <f ca="1">EDATE(TODAY(),4)</f>
        <v>46337</v>
      </c>
      <c r="G23" s="12">
        <f ca="1">EDATE(TODAY(),5)</f>
        <v>46367</v>
      </c>
      <c r="H23" s="14">
        <f ca="1">EDATE(TODAY(),6)</f>
        <v>46398</v>
      </c>
      <c r="I23" s="14">
        <f ca="1">EDATE(TODAY(),7)</f>
        <v>46429</v>
      </c>
      <c r="J23" s="14">
        <f ca="1">EDATE(TODAY(),8)</f>
        <v>46457</v>
      </c>
      <c r="K23" s="14">
        <f ca="1">EDATE(TODAY(),9)</f>
        <v>46488</v>
      </c>
      <c r="L23" s="14">
        <f ca="1">EDATE(TODAY(),10)</f>
        <v>46518</v>
      </c>
      <c r="M23" s="14">
        <f ca="1">EDATE(TODAY(),11)</f>
        <v>46549</v>
      </c>
      <c r="N23" s="14">
        <f ca="1">EDATE(TODAY(),12)</f>
        <v>46579</v>
      </c>
      <c r="O23" s="14">
        <f ca="1">EDATE(TODAY(),13)</f>
        <v>46610</v>
      </c>
      <c r="P23" s="14">
        <f ca="1">EDATE(TODAY(),14)</f>
        <v>46641</v>
      </c>
      <c r="Q23" s="14">
        <f ca="1">EDATE(TODAY(),15)</f>
        <v>46671</v>
      </c>
      <c r="R23" s="14">
        <f ca="1">EDATE(TODAY(),16)</f>
        <v>46702</v>
      </c>
      <c r="S23" s="14">
        <f ca="1">EDATE(TODAY(),17)</f>
        <v>46732</v>
      </c>
      <c r="T23" s="14">
        <f ca="1">EDATE(TODAY(),18)</f>
        <v>46763</v>
      </c>
      <c r="U23" s="14">
        <f ca="1">EDATE(TODAY(),19)</f>
        <v>46794</v>
      </c>
      <c r="V23" s="14">
        <f ca="1">EDATE(TODAY(),20)</f>
        <v>46823</v>
      </c>
      <c r="W23" s="14">
        <f ca="1">EDATE(TODAY(),21)</f>
        <v>46854</v>
      </c>
      <c r="X23" s="14">
        <f ca="1">EDATE(TODAY(),22)</f>
        <v>46884</v>
      </c>
      <c r="Y23" s="14">
        <f ca="1">EDATE(TODAY(),23)</f>
        <v>46915</v>
      </c>
      <c r="Z23" s="14">
        <f ca="1">EDATE(TODAY(),24)</f>
        <v>46945</v>
      </c>
      <c r="AA23" s="14">
        <f ca="1">EDATE(TODAY(),25)</f>
        <v>46976</v>
      </c>
      <c r="AB23" s="14">
        <f ca="1">EDATE(TODAY(),26)</f>
        <v>47007</v>
      </c>
      <c r="AC23" s="14">
        <f ca="1">EDATE(TODAY(),27)</f>
        <v>47037</v>
      </c>
      <c r="AD23" s="14">
        <f ca="1">EDATE(TODAY(),28)</f>
        <v>47068</v>
      </c>
      <c r="AE23" s="14">
        <f ca="1">EDATE(TODAY(),29)</f>
        <v>47098</v>
      </c>
      <c r="AF23" s="14">
        <f ca="1">EDATE(TODAY(),30)</f>
        <v>47129</v>
      </c>
      <c r="AG23" s="14">
        <f ca="1">EDATE(TODAY(),31)</f>
        <v>47160</v>
      </c>
      <c r="AH23" s="14">
        <f ca="1">EDATE(TODAY(),32)</f>
        <v>47188</v>
      </c>
      <c r="AI23" s="14">
        <f ca="1">EDATE(TODAY(),33)</f>
        <v>47219</v>
      </c>
      <c r="AJ23" s="14">
        <f ca="1">EDATE(TODAY(),34)</f>
        <v>47249</v>
      </c>
      <c r="AK23" s="14">
        <f ca="1">EDATE(TODAY(),35)</f>
        <v>47280</v>
      </c>
      <c r="AL23" s="14">
        <f ca="1">EDATE(TODAY(),36)</f>
        <v>47310</v>
      </c>
      <c r="AM23" s="14">
        <f ca="1">EDATE(TODAY(),37)</f>
        <v>47341</v>
      </c>
      <c r="AN23" s="14">
        <f ca="1">EDATE(TODAY(),38)</f>
        <v>47372</v>
      </c>
      <c r="AO23" s="14">
        <f ca="1">EDATE(TODAY(),39)</f>
        <v>47402</v>
      </c>
      <c r="AP23" s="14">
        <f ca="1">EDATE(TODAY(),40)</f>
        <v>47433</v>
      </c>
      <c r="AQ23" s="14">
        <f ca="1">EDATE(TODAY(),41)</f>
        <v>47463</v>
      </c>
      <c r="AR23" s="14">
        <f ca="1">EDATE(TODAY(),42)</f>
        <v>47494</v>
      </c>
      <c r="AS23" s="14">
        <f ca="1">EDATE(TODAY(),43)</f>
        <v>47525</v>
      </c>
      <c r="AT23" s="14">
        <f ca="1">EDATE(TODAY(),44)</f>
        <v>47553</v>
      </c>
      <c r="AU23" s="14">
        <f ca="1">EDATE(TODAY(),45)</f>
        <v>47584</v>
      </c>
      <c r="AV23" s="14">
        <f ca="1">EDATE(TODAY(),46)</f>
        <v>47614</v>
      </c>
      <c r="AW23" s="14">
        <f ca="1">EDATE(TODAY(),47)</f>
        <v>47645</v>
      </c>
      <c r="AX23" s="14">
        <f ca="1">EDATE(TODAY(),48)</f>
        <v>47675</v>
      </c>
      <c r="AY23" s="14">
        <f ca="1">EDATE(TODAY(),49)</f>
        <v>47706</v>
      </c>
      <c r="AZ23" s="14">
        <f ca="1">EDATE(TODAY(),50)</f>
        <v>47737</v>
      </c>
      <c r="BA23" s="14">
        <f ca="1">EDATE(TODAY(),51)</f>
        <v>47767</v>
      </c>
      <c r="BB23" s="14">
        <f ca="1">EDATE(TODAY(),52)</f>
        <v>47798</v>
      </c>
      <c r="BC23" s="14">
        <f ca="1">EDATE(TODAY(),53)</f>
        <v>47828</v>
      </c>
      <c r="BD23" s="14">
        <f ca="1">EDATE(TODAY(),54)</f>
        <v>47859</v>
      </c>
      <c r="BE23" s="14">
        <f ca="1">EDATE(TODAY(),55)</f>
        <v>47890</v>
      </c>
      <c r="BF23" s="14">
        <f ca="1">EDATE(TODAY(),56)</f>
        <v>47918</v>
      </c>
      <c r="BG23" s="14">
        <f ca="1">EDATE(TODAY(),57)</f>
        <v>47949</v>
      </c>
      <c r="BH23" s="14">
        <f ca="1">EDATE(TODAY(),58)</f>
        <v>47979</v>
      </c>
      <c r="BI23" s="14">
        <f ca="1">EDATE(TODAY(),59)</f>
        <v>48010</v>
      </c>
      <c r="BJ23" s="14">
        <f ca="1">EDATE(TODAY(),60)</f>
        <v>48040</v>
      </c>
      <c r="BK23" s="14">
        <f ca="1">EDATE(TODAY(),1)</f>
        <v>46245</v>
      </c>
      <c r="BL23" s="14">
        <f ca="1">EDATE(TODAY(),2)</f>
        <v>46276</v>
      </c>
      <c r="BM23" s="14">
        <f ca="1">EDATE(TODAY(),3)</f>
        <v>46306</v>
      </c>
      <c r="BN23" s="14">
        <f ca="1">EDATE(TODAY(),4)</f>
        <v>46337</v>
      </c>
      <c r="BO23" s="14">
        <f ca="1">EDATE(TODAY(),5)</f>
        <v>46367</v>
      </c>
      <c r="BP23" s="14">
        <f ca="1">EDATE(TODAY(),6)</f>
        <v>46398</v>
      </c>
      <c r="BQ23" s="14">
        <f ca="1">EDATE(TODAY(),7)</f>
        <v>46429</v>
      </c>
      <c r="BR23" s="14">
        <f ca="1">EDATE(TODAY(),8)</f>
        <v>46457</v>
      </c>
      <c r="BS23" s="14">
        <f ca="1">EDATE(TODAY(),9)</f>
        <v>46488</v>
      </c>
      <c r="BT23" s="14">
        <f ca="1">EDATE(TODAY(),10)</f>
        <v>46518</v>
      </c>
      <c r="BU23" s="14">
        <f ca="1">EDATE(TODAY(),11)</f>
        <v>46549</v>
      </c>
      <c r="BV23" s="14">
        <f ca="1">EDATE(TODAY(),12)</f>
        <v>46579</v>
      </c>
      <c r="BW23" s="14">
        <f ca="1">EDATE(TODAY(),13)</f>
        <v>46610</v>
      </c>
      <c r="BX23" s="14">
        <f ca="1">EDATE(TODAY(),14)</f>
        <v>46641</v>
      </c>
      <c r="BY23" s="14">
        <f ca="1">EDATE(TODAY(),15)</f>
        <v>46671</v>
      </c>
      <c r="BZ23" s="14">
        <f ca="1">EDATE(TODAY(),16)</f>
        <v>46702</v>
      </c>
      <c r="CA23" s="14">
        <f ca="1">EDATE(TODAY(),17)</f>
        <v>46732</v>
      </c>
      <c r="CB23" s="14">
        <f ca="1">EDATE(TODAY(),18)</f>
        <v>46763</v>
      </c>
      <c r="CC23" s="14">
        <f ca="1">EDATE(TODAY(),19)</f>
        <v>46794</v>
      </c>
      <c r="CD23" s="14">
        <f ca="1">EDATE(TODAY(),20)</f>
        <v>46823</v>
      </c>
      <c r="CE23" s="14">
        <f ca="1">EDATE(TODAY(),21)</f>
        <v>46854</v>
      </c>
      <c r="CF23" s="14">
        <f ca="1">EDATE(TODAY(),22)</f>
        <v>46884</v>
      </c>
      <c r="CG23" s="14">
        <f ca="1">EDATE(TODAY(),23)</f>
        <v>46915</v>
      </c>
      <c r="CH23" s="14">
        <f ca="1">EDATE(TODAY(),24)</f>
        <v>46945</v>
      </c>
      <c r="CI23" s="14">
        <f ca="1">EDATE(TODAY(),25)</f>
        <v>46976</v>
      </c>
      <c r="CJ23" s="14">
        <f ca="1">EDATE(TODAY(),26)</f>
        <v>47007</v>
      </c>
      <c r="CK23" s="14">
        <f ca="1">EDATE(TODAY(),27)</f>
        <v>47037</v>
      </c>
      <c r="CL23" s="14">
        <f ca="1">EDATE(TODAY(),28)</f>
        <v>47068</v>
      </c>
      <c r="CM23" s="14">
        <f ca="1">EDATE(TODAY(),29)</f>
        <v>47098</v>
      </c>
      <c r="CN23" s="14">
        <f ca="1">EDATE(TODAY(),30)</f>
        <v>47129</v>
      </c>
      <c r="CO23" s="14">
        <f ca="1">EDATE(TODAY(),31)</f>
        <v>47160</v>
      </c>
      <c r="CP23" s="14">
        <f ca="1">EDATE(TODAY(),32)</f>
        <v>47188</v>
      </c>
      <c r="CQ23" s="14">
        <f ca="1">EDATE(TODAY(),33)</f>
        <v>47219</v>
      </c>
      <c r="CR23" s="14">
        <f ca="1">EDATE(TODAY(),34)</f>
        <v>47249</v>
      </c>
      <c r="CS23" s="14">
        <f ca="1">EDATE(TODAY(),35)</f>
        <v>47280</v>
      </c>
      <c r="CT23" s="14">
        <f ca="1">EDATE(TODAY(),36)</f>
        <v>47310</v>
      </c>
      <c r="CU23" s="14">
        <f ca="1">EDATE(TODAY(),37)</f>
        <v>47341</v>
      </c>
      <c r="CV23" s="14">
        <f ca="1">EDATE(TODAY(),38)</f>
        <v>47372</v>
      </c>
      <c r="CW23" s="14">
        <f ca="1">EDATE(TODAY(),39)</f>
        <v>47402</v>
      </c>
      <c r="CX23" s="14">
        <f ca="1">EDATE(TODAY(),40)</f>
        <v>47433</v>
      </c>
      <c r="CY23" s="14">
        <f ca="1">EDATE(TODAY(),41)</f>
        <v>47463</v>
      </c>
      <c r="CZ23" s="14">
        <f ca="1">EDATE(TODAY(),42)</f>
        <v>47494</v>
      </c>
      <c r="DA23" s="14">
        <f ca="1">EDATE(TODAY(),43)</f>
        <v>47525</v>
      </c>
      <c r="DB23" s="14">
        <f ca="1">EDATE(TODAY(),44)</f>
        <v>47553</v>
      </c>
      <c r="DC23" s="14">
        <f ca="1">EDATE(TODAY(),45)</f>
        <v>47584</v>
      </c>
      <c r="DD23" s="14">
        <f ca="1">EDATE(TODAY(),46)</f>
        <v>47614</v>
      </c>
      <c r="DE23" s="14">
        <f ca="1">EDATE(TODAY(),47)</f>
        <v>47645</v>
      </c>
      <c r="DF23" s="14">
        <f ca="1">EDATE(TODAY(),48)</f>
        <v>47675</v>
      </c>
      <c r="DG23" s="14">
        <f ca="1">EDATE(TODAY(),49)</f>
        <v>47706</v>
      </c>
      <c r="DH23" s="14">
        <f ca="1">EDATE(TODAY(),50)</f>
        <v>47737</v>
      </c>
      <c r="DI23" s="14">
        <f ca="1">EDATE(TODAY(),51)</f>
        <v>47767</v>
      </c>
      <c r="DJ23" s="14">
        <f ca="1">EDATE(TODAY(),52)</f>
        <v>47798</v>
      </c>
      <c r="DK23" s="14">
        <f ca="1">EDATE(TODAY(),53)</f>
        <v>47828</v>
      </c>
      <c r="DL23" s="14">
        <f ca="1">EDATE(TODAY(),54)</f>
        <v>47859</v>
      </c>
      <c r="DM23" s="14">
        <f ca="1">EDATE(TODAY(),55)</f>
        <v>47890</v>
      </c>
      <c r="DN23" s="14">
        <f ca="1">EDATE(TODAY(),56)</f>
        <v>47918</v>
      </c>
      <c r="DO23" s="14">
        <f ca="1">EDATE(TODAY(),57)</f>
        <v>47949</v>
      </c>
      <c r="DP23" s="14">
        <f ca="1">EDATE(TODAY(),58)</f>
        <v>47979</v>
      </c>
      <c r="DQ23" s="14">
        <f ca="1">EDATE(TODAY(),59)</f>
        <v>48010</v>
      </c>
      <c r="DR23" s="14">
        <f ca="1">EDATE(TODAY(),60)</f>
        <v>48040</v>
      </c>
      <c r="DS23" s="14">
        <f ca="1">EDATE(TODAY(),1)</f>
        <v>46245</v>
      </c>
      <c r="DT23" s="14">
        <f ca="1">EDATE(TODAY(),2)</f>
        <v>46276</v>
      </c>
      <c r="DU23" s="14">
        <f ca="1">EDATE(TODAY(),3)</f>
        <v>46306</v>
      </c>
    </row>
    <row r="24" spans="1:125" x14ac:dyDescent="0.25">
      <c r="A24" s="11" t="s">
        <v>209</v>
      </c>
      <c r="B24" s="12">
        <f>DATE(1988,7,22)</f>
        <v>32346</v>
      </c>
      <c r="C24" s="12">
        <f ca="1">EDATE(TODAY(),18)</f>
        <v>46763</v>
      </c>
      <c r="D24" s="12">
        <f ca="1">EDATE(TODAY(),19)</f>
        <v>46794</v>
      </c>
      <c r="E24" s="12">
        <f ca="1">EDATE(TODAY(),20)</f>
        <v>46823</v>
      </c>
      <c r="F24" s="12">
        <f ca="1">EDATE(TODAY(),21)</f>
        <v>46854</v>
      </c>
      <c r="G24" s="12">
        <f ca="1">EDATE(TODAY(),22)</f>
        <v>46884</v>
      </c>
      <c r="H24" s="14">
        <f ca="1">EDATE(TODAY(),23)</f>
        <v>46915</v>
      </c>
      <c r="I24" s="14">
        <f ca="1">EDATE(TODAY(),24)</f>
        <v>46945</v>
      </c>
      <c r="J24" s="14">
        <f ca="1">EDATE(TODAY(),25)</f>
        <v>46976</v>
      </c>
      <c r="K24" s="14">
        <f ca="1">EDATE(TODAY(),26)</f>
        <v>47007</v>
      </c>
      <c r="L24" s="14">
        <f ca="1">EDATE(TODAY(),27)</f>
        <v>47037</v>
      </c>
      <c r="M24" s="14">
        <f ca="1">EDATE(TODAY(),28)</f>
        <v>47068</v>
      </c>
      <c r="N24" s="14">
        <f ca="1">EDATE(TODAY(),29)</f>
        <v>47098</v>
      </c>
      <c r="O24" s="14">
        <f ca="1">EDATE(TODAY(),30)</f>
        <v>47129</v>
      </c>
      <c r="P24" s="14">
        <f ca="1">EDATE(TODAY(),31)</f>
        <v>47160</v>
      </c>
      <c r="Q24" s="14">
        <f ca="1">EDATE(TODAY(),32)</f>
        <v>47188</v>
      </c>
      <c r="R24" s="14">
        <f ca="1">EDATE(TODAY(),33)</f>
        <v>47219</v>
      </c>
      <c r="S24" s="14">
        <f ca="1">EDATE(TODAY(),34)</f>
        <v>47249</v>
      </c>
      <c r="T24" s="14">
        <f ca="1">EDATE(TODAY(),35)</f>
        <v>47280</v>
      </c>
      <c r="U24" s="14">
        <f ca="1">EDATE(TODAY(),36)</f>
        <v>47310</v>
      </c>
      <c r="V24" s="14">
        <f ca="1">EDATE(TODAY(),37)</f>
        <v>47341</v>
      </c>
      <c r="W24" s="14">
        <f ca="1">EDATE(TODAY(),38)</f>
        <v>47372</v>
      </c>
      <c r="X24" s="14">
        <f ca="1">EDATE(TODAY(),39)</f>
        <v>47402</v>
      </c>
      <c r="Y24" s="14">
        <f ca="1">EDATE(TODAY(),40)</f>
        <v>47433</v>
      </c>
      <c r="Z24" s="14">
        <f ca="1">EDATE(TODAY(),41)</f>
        <v>47463</v>
      </c>
      <c r="AA24" s="14">
        <f ca="1">EDATE(TODAY(),42)</f>
        <v>47494</v>
      </c>
      <c r="AB24" s="14">
        <f ca="1">EDATE(TODAY(),43)</f>
        <v>47525</v>
      </c>
      <c r="AC24" s="14">
        <f ca="1">EDATE(TODAY(),44)</f>
        <v>47553</v>
      </c>
      <c r="AD24" s="14">
        <f ca="1">EDATE(TODAY(),45)</f>
        <v>47584</v>
      </c>
      <c r="AE24" s="14">
        <f ca="1">EDATE(TODAY(),46)</f>
        <v>47614</v>
      </c>
      <c r="AF24" s="14">
        <f ca="1">EDATE(TODAY(),47)</f>
        <v>47645</v>
      </c>
      <c r="AG24" s="14">
        <f ca="1">EDATE(TODAY(),48)</f>
        <v>47675</v>
      </c>
      <c r="AH24" s="14">
        <f ca="1">EDATE(TODAY(),49)</f>
        <v>47706</v>
      </c>
      <c r="AI24" s="14">
        <f ca="1">EDATE(TODAY(),50)</f>
        <v>47737</v>
      </c>
      <c r="AJ24" s="14">
        <f ca="1">EDATE(TODAY(),51)</f>
        <v>47767</v>
      </c>
      <c r="AK24" s="14">
        <f ca="1">EDATE(TODAY(),52)</f>
        <v>47798</v>
      </c>
      <c r="AL24" s="14">
        <f ca="1">EDATE(TODAY(),53)</f>
        <v>47828</v>
      </c>
      <c r="AM24" s="14">
        <f ca="1">EDATE(TODAY(),54)</f>
        <v>47859</v>
      </c>
      <c r="AN24" s="14">
        <f ca="1">EDATE(TODAY(),55)</f>
        <v>47890</v>
      </c>
      <c r="AO24" s="14">
        <f ca="1">EDATE(TODAY(),56)</f>
        <v>47918</v>
      </c>
      <c r="AP24" s="14">
        <f ca="1">EDATE(TODAY(),57)</f>
        <v>47949</v>
      </c>
      <c r="AQ24" s="14">
        <f ca="1">EDATE(TODAY(),58)</f>
        <v>47979</v>
      </c>
      <c r="AR24" s="14">
        <f ca="1">EDATE(TODAY(),59)</f>
        <v>48010</v>
      </c>
      <c r="AS24" s="14">
        <f ca="1">EDATE(TODAY(),60)</f>
        <v>48040</v>
      </c>
      <c r="AT24" s="14">
        <f ca="1">EDATE(TODAY(),1)</f>
        <v>46245</v>
      </c>
      <c r="AU24" s="14">
        <f ca="1">EDATE(TODAY(),2)</f>
        <v>46276</v>
      </c>
      <c r="AV24" s="14">
        <f ca="1">EDATE(TODAY(),3)</f>
        <v>46306</v>
      </c>
      <c r="AW24" s="14">
        <f ca="1">EDATE(TODAY(),4)</f>
        <v>46337</v>
      </c>
      <c r="AX24" s="14">
        <f ca="1">EDATE(TODAY(),5)</f>
        <v>46367</v>
      </c>
      <c r="AY24" s="14">
        <f ca="1">EDATE(TODAY(),6)</f>
        <v>46398</v>
      </c>
      <c r="AZ24" s="14">
        <f ca="1">EDATE(TODAY(),7)</f>
        <v>46429</v>
      </c>
      <c r="BA24" s="14">
        <f ca="1">EDATE(TODAY(),8)</f>
        <v>46457</v>
      </c>
      <c r="BB24" s="14">
        <f ca="1">EDATE(TODAY(),9)</f>
        <v>46488</v>
      </c>
      <c r="BC24" s="14">
        <f ca="1">EDATE(TODAY(),10)</f>
        <v>46518</v>
      </c>
      <c r="BD24" s="14">
        <f ca="1">EDATE(TODAY(),11)</f>
        <v>46549</v>
      </c>
      <c r="BE24" s="14">
        <f ca="1">EDATE(TODAY(),12)</f>
        <v>46579</v>
      </c>
      <c r="BF24" s="14">
        <f ca="1">EDATE(TODAY(),13)</f>
        <v>46610</v>
      </c>
      <c r="BG24" s="14">
        <f ca="1">EDATE(TODAY(),14)</f>
        <v>46641</v>
      </c>
      <c r="BH24" s="14">
        <f ca="1">EDATE(TODAY(),15)</f>
        <v>46671</v>
      </c>
      <c r="BI24" s="14">
        <f ca="1">EDATE(TODAY(),16)</f>
        <v>46702</v>
      </c>
      <c r="BJ24" s="14">
        <f ca="1">EDATE(TODAY(),17)</f>
        <v>46732</v>
      </c>
      <c r="BK24" s="14">
        <f ca="1">EDATE(TODAY(),18)</f>
        <v>46763</v>
      </c>
      <c r="BL24" s="14">
        <f ca="1">EDATE(TODAY(),19)</f>
        <v>46794</v>
      </c>
      <c r="BM24" s="14">
        <f ca="1">EDATE(TODAY(),20)</f>
        <v>46823</v>
      </c>
      <c r="BN24" s="14">
        <f ca="1">EDATE(TODAY(),21)</f>
        <v>46854</v>
      </c>
      <c r="BO24" s="14">
        <f ca="1">EDATE(TODAY(),22)</f>
        <v>46884</v>
      </c>
      <c r="BP24" s="14">
        <f ca="1">EDATE(TODAY(),23)</f>
        <v>46915</v>
      </c>
      <c r="BQ24" s="14">
        <f ca="1">EDATE(TODAY(),24)</f>
        <v>46945</v>
      </c>
      <c r="BR24" s="14">
        <f ca="1">EDATE(TODAY(),25)</f>
        <v>46976</v>
      </c>
      <c r="BS24" s="14">
        <f ca="1">EDATE(TODAY(),26)</f>
        <v>47007</v>
      </c>
      <c r="BT24" s="14">
        <f ca="1">EDATE(TODAY(),27)</f>
        <v>47037</v>
      </c>
      <c r="BU24" s="14">
        <f ca="1">EDATE(TODAY(),28)</f>
        <v>47068</v>
      </c>
      <c r="BV24" s="14">
        <f ca="1">EDATE(TODAY(),29)</f>
        <v>47098</v>
      </c>
      <c r="BW24" s="14">
        <f ca="1">EDATE(TODAY(),30)</f>
        <v>47129</v>
      </c>
      <c r="BX24" s="14">
        <f ca="1">EDATE(TODAY(),31)</f>
        <v>47160</v>
      </c>
      <c r="BY24" s="14">
        <f ca="1">EDATE(TODAY(),32)</f>
        <v>47188</v>
      </c>
      <c r="BZ24" s="14">
        <f ca="1">EDATE(TODAY(),33)</f>
        <v>47219</v>
      </c>
      <c r="CA24" s="14">
        <f ca="1">EDATE(TODAY(),34)</f>
        <v>47249</v>
      </c>
      <c r="CB24" s="14">
        <f ca="1">EDATE(TODAY(),35)</f>
        <v>47280</v>
      </c>
      <c r="CC24" s="14">
        <f ca="1">EDATE(TODAY(),36)</f>
        <v>47310</v>
      </c>
      <c r="CD24" s="14">
        <f ca="1">EDATE(TODAY(),37)</f>
        <v>47341</v>
      </c>
      <c r="CE24" s="14">
        <f ca="1">EDATE(TODAY(),38)</f>
        <v>47372</v>
      </c>
      <c r="CF24" s="14">
        <f ca="1">EDATE(TODAY(),39)</f>
        <v>47402</v>
      </c>
      <c r="CG24" s="14">
        <f ca="1">EDATE(TODAY(),40)</f>
        <v>47433</v>
      </c>
      <c r="CH24" s="14">
        <f ca="1">EDATE(TODAY(),41)</f>
        <v>47463</v>
      </c>
      <c r="CI24" s="14">
        <f ca="1">EDATE(TODAY(),42)</f>
        <v>47494</v>
      </c>
      <c r="CJ24" s="14">
        <f ca="1">EDATE(TODAY(),43)</f>
        <v>47525</v>
      </c>
      <c r="CK24" s="14">
        <f ca="1">EDATE(TODAY(),44)</f>
        <v>47553</v>
      </c>
      <c r="CL24" s="14">
        <f ca="1">EDATE(TODAY(),45)</f>
        <v>47584</v>
      </c>
      <c r="CM24" s="14">
        <f ca="1">EDATE(TODAY(),46)</f>
        <v>47614</v>
      </c>
      <c r="CN24" s="14">
        <f ca="1">EDATE(TODAY(),47)</f>
        <v>47645</v>
      </c>
      <c r="CO24" s="14">
        <f ca="1">EDATE(TODAY(),48)</f>
        <v>47675</v>
      </c>
      <c r="CP24" s="14">
        <f ca="1">EDATE(TODAY(),49)</f>
        <v>47706</v>
      </c>
      <c r="CQ24" s="14">
        <f ca="1">EDATE(TODAY(),50)</f>
        <v>47737</v>
      </c>
      <c r="CR24" s="14">
        <f ca="1">EDATE(TODAY(),51)</f>
        <v>47767</v>
      </c>
      <c r="CS24" s="14">
        <f ca="1">EDATE(TODAY(),52)</f>
        <v>47798</v>
      </c>
      <c r="CT24" s="14">
        <f ca="1">EDATE(TODAY(),53)</f>
        <v>47828</v>
      </c>
      <c r="CU24" s="14">
        <f ca="1">EDATE(TODAY(),54)</f>
        <v>47859</v>
      </c>
      <c r="CV24" s="14">
        <f ca="1">EDATE(TODAY(),55)</f>
        <v>47890</v>
      </c>
      <c r="CW24" s="14">
        <f ca="1">EDATE(TODAY(),56)</f>
        <v>47918</v>
      </c>
      <c r="CX24" s="14">
        <f ca="1">EDATE(TODAY(),57)</f>
        <v>47949</v>
      </c>
      <c r="CY24" s="14">
        <f ca="1">EDATE(TODAY(),58)</f>
        <v>47979</v>
      </c>
      <c r="CZ24" s="14">
        <f ca="1">EDATE(TODAY(),59)</f>
        <v>48010</v>
      </c>
      <c r="DA24" s="14">
        <f ca="1">EDATE(TODAY(),60)</f>
        <v>48040</v>
      </c>
      <c r="DB24" s="14">
        <f ca="1">EDATE(TODAY(),1)</f>
        <v>46245</v>
      </c>
      <c r="DC24" s="14">
        <f ca="1">EDATE(TODAY(),2)</f>
        <v>46276</v>
      </c>
      <c r="DD24" s="14">
        <f ca="1">EDATE(TODAY(),3)</f>
        <v>46306</v>
      </c>
      <c r="DE24" s="14">
        <f ca="1">EDATE(TODAY(),4)</f>
        <v>46337</v>
      </c>
      <c r="DF24" s="14">
        <f ca="1">EDATE(TODAY(),5)</f>
        <v>46367</v>
      </c>
      <c r="DG24" s="14">
        <f ca="1">EDATE(TODAY(),6)</f>
        <v>46398</v>
      </c>
      <c r="DH24" s="14">
        <f ca="1">EDATE(TODAY(),7)</f>
        <v>46429</v>
      </c>
      <c r="DI24" s="14">
        <f ca="1">EDATE(TODAY(),8)</f>
        <v>46457</v>
      </c>
      <c r="DJ24" s="14">
        <f ca="1">EDATE(TODAY(),9)</f>
        <v>46488</v>
      </c>
      <c r="DK24" s="14">
        <f ca="1">EDATE(TODAY(),10)</f>
        <v>46518</v>
      </c>
      <c r="DL24" s="14">
        <f ca="1">EDATE(TODAY(),11)</f>
        <v>46549</v>
      </c>
      <c r="DM24" s="14">
        <f ca="1">EDATE(TODAY(),12)</f>
        <v>46579</v>
      </c>
      <c r="DN24" s="14">
        <f ca="1">EDATE(TODAY(),13)</f>
        <v>46610</v>
      </c>
      <c r="DO24" s="14">
        <f ca="1">EDATE(TODAY(),14)</f>
        <v>46641</v>
      </c>
      <c r="DP24" s="14">
        <f ca="1">EDATE(TODAY(),15)</f>
        <v>46671</v>
      </c>
      <c r="DQ24" s="14">
        <f ca="1">EDATE(TODAY(),16)</f>
        <v>46702</v>
      </c>
      <c r="DR24" s="14">
        <f ca="1">EDATE(TODAY(),17)</f>
        <v>46732</v>
      </c>
      <c r="DS24" s="14">
        <f ca="1">EDATE(TODAY(),18)</f>
        <v>46763</v>
      </c>
      <c r="DT24" s="14">
        <f ca="1">EDATE(TODAY(),19)</f>
        <v>46794</v>
      </c>
      <c r="DU24" s="14">
        <f ca="1">EDATE(TODAY(),20)</f>
        <v>46823</v>
      </c>
    </row>
    <row r="25" spans="1:125" x14ac:dyDescent="0.25">
      <c r="A25" s="11" t="s">
        <v>210</v>
      </c>
      <c r="B25" s="12">
        <f>DATE(1995,11,5)</f>
        <v>35008</v>
      </c>
      <c r="C25" s="12">
        <f ca="1">EDATE(TODAY(),35)</f>
        <v>47280</v>
      </c>
      <c r="D25" s="12">
        <f ca="1">EDATE(TODAY(),36)</f>
        <v>47310</v>
      </c>
      <c r="E25" s="12">
        <f ca="1">EDATE(TODAY(),37)</f>
        <v>47341</v>
      </c>
      <c r="F25" s="12">
        <f ca="1">EDATE(TODAY(),38)</f>
        <v>47372</v>
      </c>
      <c r="G25" s="12">
        <f ca="1">EDATE(TODAY(),39)</f>
        <v>47402</v>
      </c>
      <c r="H25" s="14">
        <f ca="1">EDATE(TODAY(),40)</f>
        <v>47433</v>
      </c>
      <c r="I25" s="14">
        <f ca="1">EDATE(TODAY(),41)</f>
        <v>47463</v>
      </c>
      <c r="J25" s="14">
        <f ca="1">EDATE(TODAY(),42)</f>
        <v>47494</v>
      </c>
      <c r="K25" s="14">
        <f ca="1">EDATE(TODAY(),43)</f>
        <v>47525</v>
      </c>
      <c r="L25" s="14">
        <f ca="1">EDATE(TODAY(),44)</f>
        <v>47553</v>
      </c>
      <c r="M25" s="14">
        <f ca="1">EDATE(TODAY(),45)</f>
        <v>47584</v>
      </c>
      <c r="N25" s="14">
        <f ca="1">EDATE(TODAY(),46)</f>
        <v>47614</v>
      </c>
      <c r="O25" s="14">
        <f ca="1">EDATE(TODAY(),47)</f>
        <v>47645</v>
      </c>
      <c r="P25" s="14">
        <f ca="1">EDATE(TODAY(),48)</f>
        <v>47675</v>
      </c>
      <c r="Q25" s="14">
        <f ca="1">EDATE(TODAY(),49)</f>
        <v>47706</v>
      </c>
      <c r="R25" s="14">
        <f ca="1">EDATE(TODAY(),50)</f>
        <v>47737</v>
      </c>
      <c r="S25" s="14">
        <f ca="1">EDATE(TODAY(),51)</f>
        <v>47767</v>
      </c>
      <c r="T25" s="14">
        <f ca="1">EDATE(TODAY(),52)</f>
        <v>47798</v>
      </c>
      <c r="U25" s="14">
        <f ca="1">EDATE(TODAY(),53)</f>
        <v>47828</v>
      </c>
      <c r="V25" s="14">
        <f ca="1">EDATE(TODAY(),54)</f>
        <v>47859</v>
      </c>
      <c r="W25" s="14">
        <f ca="1">EDATE(TODAY(),55)</f>
        <v>47890</v>
      </c>
      <c r="X25" s="14">
        <f ca="1">EDATE(TODAY(),56)</f>
        <v>47918</v>
      </c>
      <c r="Y25" s="14">
        <f ca="1">EDATE(TODAY(),57)</f>
        <v>47949</v>
      </c>
      <c r="Z25" s="14">
        <f ca="1">EDATE(TODAY(),58)</f>
        <v>47979</v>
      </c>
      <c r="AA25" s="14">
        <f ca="1">EDATE(TODAY(),59)</f>
        <v>48010</v>
      </c>
      <c r="AB25" s="14">
        <f ca="1">EDATE(TODAY(),60)</f>
        <v>48040</v>
      </c>
      <c r="AC25" s="14">
        <f ca="1">EDATE(TODAY(),1)</f>
        <v>46245</v>
      </c>
      <c r="AD25" s="14">
        <f ca="1">EDATE(TODAY(),2)</f>
        <v>46276</v>
      </c>
      <c r="AE25" s="14">
        <f ca="1">EDATE(TODAY(),3)</f>
        <v>46306</v>
      </c>
      <c r="AF25" s="14">
        <f ca="1">EDATE(TODAY(),4)</f>
        <v>46337</v>
      </c>
      <c r="AG25" s="14">
        <f ca="1">EDATE(TODAY(),5)</f>
        <v>46367</v>
      </c>
      <c r="AH25" s="14">
        <f ca="1">EDATE(TODAY(),6)</f>
        <v>46398</v>
      </c>
      <c r="AI25" s="14">
        <f ca="1">EDATE(TODAY(),7)</f>
        <v>46429</v>
      </c>
      <c r="AJ25" s="14">
        <f ca="1">EDATE(TODAY(),8)</f>
        <v>46457</v>
      </c>
      <c r="AK25" s="14">
        <f ca="1">EDATE(TODAY(),9)</f>
        <v>46488</v>
      </c>
      <c r="AL25" s="14">
        <f ca="1">EDATE(TODAY(),10)</f>
        <v>46518</v>
      </c>
      <c r="AM25" s="14">
        <f ca="1">EDATE(TODAY(),11)</f>
        <v>46549</v>
      </c>
      <c r="AN25" s="14">
        <f ca="1">EDATE(TODAY(),12)</f>
        <v>46579</v>
      </c>
      <c r="AO25" s="14">
        <f ca="1">EDATE(TODAY(),13)</f>
        <v>46610</v>
      </c>
      <c r="AP25" s="14">
        <f ca="1">EDATE(TODAY(),14)</f>
        <v>46641</v>
      </c>
      <c r="AQ25" s="14">
        <f ca="1">EDATE(TODAY(),15)</f>
        <v>46671</v>
      </c>
      <c r="AR25" s="14">
        <f ca="1">EDATE(TODAY(),16)</f>
        <v>46702</v>
      </c>
      <c r="AS25" s="14">
        <f ca="1">EDATE(TODAY(),17)</f>
        <v>46732</v>
      </c>
      <c r="AT25" s="14">
        <f ca="1">EDATE(TODAY(),18)</f>
        <v>46763</v>
      </c>
      <c r="AU25" s="14">
        <f ca="1">EDATE(TODAY(),19)</f>
        <v>46794</v>
      </c>
      <c r="AV25" s="14">
        <f ca="1">EDATE(TODAY(),20)</f>
        <v>46823</v>
      </c>
      <c r="AW25" s="14">
        <f ca="1">EDATE(TODAY(),21)</f>
        <v>46854</v>
      </c>
      <c r="AX25" s="14">
        <f ca="1">EDATE(TODAY(),22)</f>
        <v>46884</v>
      </c>
      <c r="AY25" s="14">
        <f ca="1">EDATE(TODAY(),23)</f>
        <v>46915</v>
      </c>
      <c r="AZ25" s="14">
        <f ca="1">EDATE(TODAY(),24)</f>
        <v>46945</v>
      </c>
      <c r="BA25" s="14">
        <f ca="1">EDATE(TODAY(),25)</f>
        <v>46976</v>
      </c>
      <c r="BB25" s="14">
        <f ca="1">EDATE(TODAY(),26)</f>
        <v>47007</v>
      </c>
      <c r="BC25" s="14">
        <f ca="1">EDATE(TODAY(),27)</f>
        <v>47037</v>
      </c>
      <c r="BD25" s="14">
        <f ca="1">EDATE(TODAY(),28)</f>
        <v>47068</v>
      </c>
      <c r="BE25" s="14">
        <f ca="1">EDATE(TODAY(),29)</f>
        <v>47098</v>
      </c>
      <c r="BF25" s="14">
        <f ca="1">EDATE(TODAY(),30)</f>
        <v>47129</v>
      </c>
      <c r="BG25" s="14">
        <f ca="1">EDATE(TODAY(),31)</f>
        <v>47160</v>
      </c>
      <c r="BH25" s="14">
        <f ca="1">EDATE(TODAY(),32)</f>
        <v>47188</v>
      </c>
      <c r="BI25" s="14">
        <f ca="1">EDATE(TODAY(),33)</f>
        <v>47219</v>
      </c>
      <c r="BJ25" s="14">
        <f ca="1">EDATE(TODAY(),34)</f>
        <v>47249</v>
      </c>
      <c r="BK25" s="14">
        <f ca="1">EDATE(TODAY(),35)</f>
        <v>47280</v>
      </c>
      <c r="BL25" s="14">
        <f ca="1">EDATE(TODAY(),36)</f>
        <v>47310</v>
      </c>
      <c r="BM25" s="14">
        <f ca="1">EDATE(TODAY(),37)</f>
        <v>47341</v>
      </c>
      <c r="BN25" s="14">
        <f ca="1">EDATE(TODAY(),38)</f>
        <v>47372</v>
      </c>
      <c r="BO25" s="14">
        <f ca="1">EDATE(TODAY(),39)</f>
        <v>47402</v>
      </c>
      <c r="BP25" s="14">
        <f ca="1">EDATE(TODAY(),40)</f>
        <v>47433</v>
      </c>
      <c r="BQ25" s="14">
        <f ca="1">EDATE(TODAY(),41)</f>
        <v>47463</v>
      </c>
      <c r="BR25" s="14">
        <f ca="1">EDATE(TODAY(),42)</f>
        <v>47494</v>
      </c>
      <c r="BS25" s="14">
        <f ca="1">EDATE(TODAY(),43)</f>
        <v>47525</v>
      </c>
      <c r="BT25" s="14">
        <f ca="1">EDATE(TODAY(),44)</f>
        <v>47553</v>
      </c>
      <c r="BU25" s="14">
        <f ca="1">EDATE(TODAY(),45)</f>
        <v>47584</v>
      </c>
      <c r="BV25" s="14">
        <f ca="1">EDATE(TODAY(),46)</f>
        <v>47614</v>
      </c>
      <c r="BW25" s="14">
        <f ca="1">EDATE(TODAY(),47)</f>
        <v>47645</v>
      </c>
      <c r="BX25" s="14">
        <f ca="1">EDATE(TODAY(),48)</f>
        <v>47675</v>
      </c>
      <c r="BY25" s="14">
        <f ca="1">EDATE(TODAY(),49)</f>
        <v>47706</v>
      </c>
      <c r="BZ25" s="14">
        <f ca="1">EDATE(TODAY(),50)</f>
        <v>47737</v>
      </c>
      <c r="CA25" s="14">
        <f ca="1">EDATE(TODAY(),51)</f>
        <v>47767</v>
      </c>
      <c r="CB25" s="14">
        <f ca="1">EDATE(TODAY(),52)</f>
        <v>47798</v>
      </c>
      <c r="CC25" s="14">
        <f ca="1">EDATE(TODAY(),53)</f>
        <v>47828</v>
      </c>
      <c r="CD25" s="14">
        <f ca="1">EDATE(TODAY(),54)</f>
        <v>47859</v>
      </c>
      <c r="CE25" s="14">
        <f ca="1">EDATE(TODAY(),55)</f>
        <v>47890</v>
      </c>
      <c r="CF25" s="14">
        <f ca="1">EDATE(TODAY(),56)</f>
        <v>47918</v>
      </c>
      <c r="CG25" s="14">
        <f ca="1">EDATE(TODAY(),57)</f>
        <v>47949</v>
      </c>
      <c r="CH25" s="14">
        <f ca="1">EDATE(TODAY(),58)</f>
        <v>47979</v>
      </c>
      <c r="CI25" s="14">
        <f ca="1">EDATE(TODAY(),59)</f>
        <v>48010</v>
      </c>
      <c r="CJ25" s="14">
        <f ca="1">EDATE(TODAY(),60)</f>
        <v>48040</v>
      </c>
      <c r="CK25" s="14">
        <f ca="1">EDATE(TODAY(),1)</f>
        <v>46245</v>
      </c>
      <c r="CL25" s="14">
        <f ca="1">EDATE(TODAY(),2)</f>
        <v>46276</v>
      </c>
      <c r="CM25" s="14">
        <f ca="1">EDATE(TODAY(),3)</f>
        <v>46306</v>
      </c>
      <c r="CN25" s="14">
        <f ca="1">EDATE(TODAY(),4)</f>
        <v>46337</v>
      </c>
      <c r="CO25" s="14">
        <f ca="1">EDATE(TODAY(),5)</f>
        <v>46367</v>
      </c>
      <c r="CP25" s="14">
        <f ca="1">EDATE(TODAY(),6)</f>
        <v>46398</v>
      </c>
      <c r="CQ25" s="14">
        <f ca="1">EDATE(TODAY(),7)</f>
        <v>46429</v>
      </c>
      <c r="CR25" s="14">
        <f ca="1">EDATE(TODAY(),8)</f>
        <v>46457</v>
      </c>
      <c r="CS25" s="14">
        <f ca="1">EDATE(TODAY(),9)</f>
        <v>46488</v>
      </c>
      <c r="CT25" s="14">
        <f ca="1">EDATE(TODAY(),10)</f>
        <v>46518</v>
      </c>
      <c r="CU25" s="14">
        <f ca="1">EDATE(TODAY(),11)</f>
        <v>46549</v>
      </c>
      <c r="CV25" s="14">
        <f ca="1">EDATE(TODAY(),12)</f>
        <v>46579</v>
      </c>
      <c r="CW25" s="14">
        <f ca="1">EDATE(TODAY(),13)</f>
        <v>46610</v>
      </c>
      <c r="CX25" s="14">
        <f ca="1">EDATE(TODAY(),14)</f>
        <v>46641</v>
      </c>
      <c r="CY25" s="14">
        <f ca="1">EDATE(TODAY(),15)</f>
        <v>46671</v>
      </c>
      <c r="CZ25" s="14">
        <f ca="1">EDATE(TODAY(),16)</f>
        <v>46702</v>
      </c>
      <c r="DA25" s="14">
        <f ca="1">EDATE(TODAY(),17)</f>
        <v>46732</v>
      </c>
      <c r="DB25" s="14">
        <f ca="1">EDATE(TODAY(),18)</f>
        <v>46763</v>
      </c>
      <c r="DC25" s="14">
        <f ca="1">EDATE(TODAY(),19)</f>
        <v>46794</v>
      </c>
      <c r="DD25" s="14">
        <f ca="1">EDATE(TODAY(),20)</f>
        <v>46823</v>
      </c>
      <c r="DE25" s="14">
        <f ca="1">EDATE(TODAY(),21)</f>
        <v>46854</v>
      </c>
      <c r="DF25" s="14">
        <f ca="1">EDATE(TODAY(),22)</f>
        <v>46884</v>
      </c>
      <c r="DG25" s="14">
        <f ca="1">EDATE(TODAY(),23)</f>
        <v>46915</v>
      </c>
      <c r="DH25" s="14">
        <f ca="1">EDATE(TODAY(),24)</f>
        <v>46945</v>
      </c>
      <c r="DI25" s="14">
        <f ca="1">EDATE(TODAY(),25)</f>
        <v>46976</v>
      </c>
      <c r="DJ25" s="14">
        <f ca="1">EDATE(TODAY(),26)</f>
        <v>47007</v>
      </c>
      <c r="DK25" s="14">
        <f ca="1">EDATE(TODAY(),27)</f>
        <v>47037</v>
      </c>
      <c r="DL25" s="14">
        <f ca="1">EDATE(TODAY(),28)</f>
        <v>47068</v>
      </c>
      <c r="DM25" s="14">
        <f ca="1">EDATE(TODAY(),29)</f>
        <v>47098</v>
      </c>
      <c r="DN25" s="14">
        <f ca="1">EDATE(TODAY(),30)</f>
        <v>47129</v>
      </c>
      <c r="DO25" s="14">
        <f ca="1">EDATE(TODAY(),31)</f>
        <v>47160</v>
      </c>
      <c r="DP25" s="14">
        <f ca="1">EDATE(TODAY(),32)</f>
        <v>47188</v>
      </c>
      <c r="DQ25" s="14">
        <f ca="1">EDATE(TODAY(),33)</f>
        <v>47219</v>
      </c>
      <c r="DR25" s="14">
        <f ca="1">EDATE(TODAY(),34)</f>
        <v>47249</v>
      </c>
      <c r="DS25" s="14">
        <f ca="1">EDATE(TODAY(),35)</f>
        <v>47280</v>
      </c>
      <c r="DT25" s="14">
        <f ca="1">EDATE(TODAY(),36)</f>
        <v>47310</v>
      </c>
      <c r="DU25" s="14">
        <f ca="1">EDATE(TODAY(),37)</f>
        <v>47341</v>
      </c>
    </row>
    <row r="26" spans="1:125" x14ac:dyDescent="0.25">
      <c r="A26" s="11" t="s">
        <v>211</v>
      </c>
      <c r="B26" s="12">
        <f>DATE(1992,1,29)</f>
        <v>33632</v>
      </c>
      <c r="C26" s="12">
        <f ca="1">EDATE(TODAY(),52)</f>
        <v>47798</v>
      </c>
      <c r="D26" s="12">
        <f ca="1">EDATE(TODAY(),53)</f>
        <v>47828</v>
      </c>
      <c r="E26" s="12">
        <f ca="1">EDATE(TODAY(),54)</f>
        <v>47859</v>
      </c>
      <c r="F26" s="12">
        <f ca="1">EDATE(TODAY(),55)</f>
        <v>47890</v>
      </c>
      <c r="G26" s="12">
        <f ca="1">EDATE(TODAY(),56)</f>
        <v>47918</v>
      </c>
      <c r="H26" s="14">
        <f ca="1">EDATE(TODAY(),57)</f>
        <v>47949</v>
      </c>
      <c r="I26" s="14">
        <f ca="1">EDATE(TODAY(),58)</f>
        <v>47979</v>
      </c>
      <c r="J26" s="14">
        <f ca="1">EDATE(TODAY(),59)</f>
        <v>48010</v>
      </c>
      <c r="K26" s="14">
        <f ca="1">EDATE(TODAY(),60)</f>
        <v>48040</v>
      </c>
      <c r="L26" s="14">
        <f ca="1">EDATE(TODAY(),1)</f>
        <v>46245</v>
      </c>
      <c r="M26" s="14">
        <f ca="1">EDATE(TODAY(),2)</f>
        <v>46276</v>
      </c>
      <c r="N26" s="14">
        <f ca="1">EDATE(TODAY(),3)</f>
        <v>46306</v>
      </c>
      <c r="O26" s="14">
        <f ca="1">EDATE(TODAY(),4)</f>
        <v>46337</v>
      </c>
      <c r="P26" s="14">
        <f ca="1">EDATE(TODAY(),5)</f>
        <v>46367</v>
      </c>
      <c r="Q26" s="14">
        <f ca="1">EDATE(TODAY(),6)</f>
        <v>46398</v>
      </c>
      <c r="R26" s="14">
        <f ca="1">EDATE(TODAY(),7)</f>
        <v>46429</v>
      </c>
      <c r="S26" s="14">
        <f ca="1">EDATE(TODAY(),8)</f>
        <v>46457</v>
      </c>
      <c r="T26" s="14">
        <f ca="1">EDATE(TODAY(),9)</f>
        <v>46488</v>
      </c>
      <c r="U26" s="14">
        <f ca="1">EDATE(TODAY(),10)</f>
        <v>46518</v>
      </c>
      <c r="V26" s="14">
        <f ca="1">EDATE(TODAY(),11)</f>
        <v>46549</v>
      </c>
      <c r="W26" s="14">
        <f ca="1">EDATE(TODAY(),12)</f>
        <v>46579</v>
      </c>
      <c r="X26" s="14">
        <f ca="1">EDATE(TODAY(),13)</f>
        <v>46610</v>
      </c>
      <c r="Y26" s="14">
        <f ca="1">EDATE(TODAY(),14)</f>
        <v>46641</v>
      </c>
      <c r="Z26" s="14">
        <f ca="1">EDATE(TODAY(),15)</f>
        <v>46671</v>
      </c>
      <c r="AA26" s="14">
        <f ca="1">EDATE(TODAY(),16)</f>
        <v>46702</v>
      </c>
      <c r="AB26" s="14">
        <f ca="1">EDATE(TODAY(),17)</f>
        <v>46732</v>
      </c>
      <c r="AC26" s="14">
        <f ca="1">EDATE(TODAY(),18)</f>
        <v>46763</v>
      </c>
      <c r="AD26" s="14">
        <f ca="1">EDATE(TODAY(),19)</f>
        <v>46794</v>
      </c>
      <c r="AE26" s="14">
        <f ca="1">EDATE(TODAY(),20)</f>
        <v>46823</v>
      </c>
      <c r="AF26" s="14">
        <f ca="1">EDATE(TODAY(),21)</f>
        <v>46854</v>
      </c>
      <c r="AG26" s="14">
        <f ca="1">EDATE(TODAY(),22)</f>
        <v>46884</v>
      </c>
      <c r="AH26" s="14">
        <f ca="1">EDATE(TODAY(),23)</f>
        <v>46915</v>
      </c>
      <c r="AI26" s="14">
        <f ca="1">EDATE(TODAY(),24)</f>
        <v>46945</v>
      </c>
      <c r="AJ26" s="14">
        <f ca="1">EDATE(TODAY(),25)</f>
        <v>46976</v>
      </c>
      <c r="AK26" s="14">
        <f ca="1">EDATE(TODAY(),26)</f>
        <v>47007</v>
      </c>
      <c r="AL26" s="14">
        <f ca="1">EDATE(TODAY(),27)</f>
        <v>47037</v>
      </c>
      <c r="AM26" s="14">
        <f ca="1">EDATE(TODAY(),28)</f>
        <v>47068</v>
      </c>
      <c r="AN26" s="14">
        <f ca="1">EDATE(TODAY(),29)</f>
        <v>47098</v>
      </c>
      <c r="AO26" s="14">
        <f ca="1">EDATE(TODAY(),30)</f>
        <v>47129</v>
      </c>
      <c r="AP26" s="14">
        <f ca="1">EDATE(TODAY(),31)</f>
        <v>47160</v>
      </c>
      <c r="AQ26" s="14">
        <f ca="1">EDATE(TODAY(),32)</f>
        <v>47188</v>
      </c>
      <c r="AR26" s="14">
        <f ca="1">EDATE(TODAY(),33)</f>
        <v>47219</v>
      </c>
      <c r="AS26" s="14">
        <f ca="1">EDATE(TODAY(),34)</f>
        <v>47249</v>
      </c>
      <c r="AT26" s="14">
        <f ca="1">EDATE(TODAY(),35)</f>
        <v>47280</v>
      </c>
      <c r="AU26" s="14">
        <f ca="1">EDATE(TODAY(),36)</f>
        <v>47310</v>
      </c>
      <c r="AV26" s="14">
        <f ca="1">EDATE(TODAY(),37)</f>
        <v>47341</v>
      </c>
      <c r="AW26" s="14">
        <f ca="1">EDATE(TODAY(),38)</f>
        <v>47372</v>
      </c>
      <c r="AX26" s="14">
        <f ca="1">EDATE(TODAY(),39)</f>
        <v>47402</v>
      </c>
      <c r="AY26" s="14">
        <f ca="1">EDATE(TODAY(),40)</f>
        <v>47433</v>
      </c>
      <c r="AZ26" s="14">
        <f ca="1">EDATE(TODAY(),41)</f>
        <v>47463</v>
      </c>
      <c r="BA26" s="14">
        <f ca="1">EDATE(TODAY(),42)</f>
        <v>47494</v>
      </c>
      <c r="BB26" s="14">
        <f ca="1">EDATE(TODAY(),43)</f>
        <v>47525</v>
      </c>
      <c r="BC26" s="14">
        <f ca="1">EDATE(TODAY(),44)</f>
        <v>47553</v>
      </c>
      <c r="BD26" s="14">
        <f ca="1">EDATE(TODAY(),45)</f>
        <v>47584</v>
      </c>
      <c r="BE26" s="14">
        <f ca="1">EDATE(TODAY(),46)</f>
        <v>47614</v>
      </c>
      <c r="BF26" s="14">
        <f ca="1">EDATE(TODAY(),47)</f>
        <v>47645</v>
      </c>
      <c r="BG26" s="14">
        <f ca="1">EDATE(TODAY(),48)</f>
        <v>47675</v>
      </c>
      <c r="BH26" s="14">
        <f ca="1">EDATE(TODAY(),49)</f>
        <v>47706</v>
      </c>
      <c r="BI26" s="14">
        <f ca="1">EDATE(TODAY(),50)</f>
        <v>47737</v>
      </c>
      <c r="BJ26" s="14">
        <f ca="1">EDATE(TODAY(),51)</f>
        <v>47767</v>
      </c>
      <c r="BK26" s="14">
        <f ca="1">EDATE(TODAY(),52)</f>
        <v>47798</v>
      </c>
      <c r="BL26" s="14">
        <f ca="1">EDATE(TODAY(),53)</f>
        <v>47828</v>
      </c>
      <c r="BM26" s="14">
        <f ca="1">EDATE(TODAY(),54)</f>
        <v>47859</v>
      </c>
      <c r="BN26" s="14">
        <f ca="1">EDATE(TODAY(),55)</f>
        <v>47890</v>
      </c>
      <c r="BO26" s="14">
        <f ca="1">EDATE(TODAY(),56)</f>
        <v>47918</v>
      </c>
      <c r="BP26" s="14">
        <f ca="1">EDATE(TODAY(),57)</f>
        <v>47949</v>
      </c>
      <c r="BQ26" s="14">
        <f ca="1">EDATE(TODAY(),58)</f>
        <v>47979</v>
      </c>
      <c r="BR26" s="14">
        <f ca="1">EDATE(TODAY(),59)</f>
        <v>48010</v>
      </c>
      <c r="BS26" s="14">
        <f ca="1">EDATE(TODAY(),60)</f>
        <v>48040</v>
      </c>
      <c r="BT26" s="14">
        <f ca="1">EDATE(TODAY(),1)</f>
        <v>46245</v>
      </c>
      <c r="BU26" s="14">
        <f ca="1">EDATE(TODAY(),2)</f>
        <v>46276</v>
      </c>
      <c r="BV26" s="14">
        <f ca="1">EDATE(TODAY(),3)</f>
        <v>46306</v>
      </c>
      <c r="BW26" s="14">
        <f ca="1">EDATE(TODAY(),4)</f>
        <v>46337</v>
      </c>
      <c r="BX26" s="14">
        <f ca="1">EDATE(TODAY(),5)</f>
        <v>46367</v>
      </c>
      <c r="BY26" s="14">
        <f ca="1">EDATE(TODAY(),6)</f>
        <v>46398</v>
      </c>
      <c r="BZ26" s="14">
        <f ca="1">EDATE(TODAY(),7)</f>
        <v>46429</v>
      </c>
      <c r="CA26" s="14">
        <f ca="1">EDATE(TODAY(),8)</f>
        <v>46457</v>
      </c>
      <c r="CB26" s="14">
        <f ca="1">EDATE(TODAY(),9)</f>
        <v>46488</v>
      </c>
      <c r="CC26" s="14">
        <f ca="1">EDATE(TODAY(),10)</f>
        <v>46518</v>
      </c>
      <c r="CD26" s="14">
        <f ca="1">EDATE(TODAY(),11)</f>
        <v>46549</v>
      </c>
      <c r="CE26" s="14">
        <f ca="1">EDATE(TODAY(),12)</f>
        <v>46579</v>
      </c>
      <c r="CF26" s="14">
        <f ca="1">EDATE(TODAY(),13)</f>
        <v>46610</v>
      </c>
      <c r="CG26" s="14">
        <f ca="1">EDATE(TODAY(),14)</f>
        <v>46641</v>
      </c>
      <c r="CH26" s="14">
        <f ca="1">EDATE(TODAY(),15)</f>
        <v>46671</v>
      </c>
      <c r="CI26" s="14">
        <f ca="1">EDATE(TODAY(),16)</f>
        <v>46702</v>
      </c>
      <c r="CJ26" s="14">
        <f ca="1">EDATE(TODAY(),17)</f>
        <v>46732</v>
      </c>
      <c r="CK26" s="14">
        <f ca="1">EDATE(TODAY(),18)</f>
        <v>46763</v>
      </c>
      <c r="CL26" s="14">
        <f ca="1">EDATE(TODAY(),19)</f>
        <v>46794</v>
      </c>
      <c r="CM26" s="14">
        <f ca="1">EDATE(TODAY(),20)</f>
        <v>46823</v>
      </c>
      <c r="CN26" s="14">
        <f ca="1">EDATE(TODAY(),21)</f>
        <v>46854</v>
      </c>
      <c r="CO26" s="14">
        <f ca="1">EDATE(TODAY(),22)</f>
        <v>46884</v>
      </c>
      <c r="CP26" s="14">
        <f ca="1">EDATE(TODAY(),23)</f>
        <v>46915</v>
      </c>
      <c r="CQ26" s="14">
        <f ca="1">EDATE(TODAY(),24)</f>
        <v>46945</v>
      </c>
      <c r="CR26" s="14">
        <f ca="1">EDATE(TODAY(),25)</f>
        <v>46976</v>
      </c>
      <c r="CS26" s="14">
        <f ca="1">EDATE(TODAY(),26)</f>
        <v>47007</v>
      </c>
      <c r="CT26" s="14">
        <f ca="1">EDATE(TODAY(),27)</f>
        <v>47037</v>
      </c>
      <c r="CU26" s="14">
        <f ca="1">EDATE(TODAY(),28)</f>
        <v>47068</v>
      </c>
      <c r="CV26" s="14">
        <f ca="1">EDATE(TODAY(),29)</f>
        <v>47098</v>
      </c>
      <c r="CW26" s="14">
        <f ca="1">EDATE(TODAY(),30)</f>
        <v>47129</v>
      </c>
      <c r="CX26" s="14">
        <f ca="1">EDATE(TODAY(),31)</f>
        <v>47160</v>
      </c>
      <c r="CY26" s="14">
        <f ca="1">EDATE(TODAY(),32)</f>
        <v>47188</v>
      </c>
      <c r="CZ26" s="14">
        <f ca="1">EDATE(TODAY(),33)</f>
        <v>47219</v>
      </c>
      <c r="DA26" s="14">
        <f ca="1">EDATE(TODAY(),34)</f>
        <v>47249</v>
      </c>
      <c r="DB26" s="14">
        <f ca="1">EDATE(TODAY(),35)</f>
        <v>47280</v>
      </c>
      <c r="DC26" s="14">
        <f ca="1">EDATE(TODAY(),36)</f>
        <v>47310</v>
      </c>
      <c r="DD26" s="14">
        <f ca="1">EDATE(TODAY(),37)</f>
        <v>47341</v>
      </c>
      <c r="DE26" s="14">
        <f ca="1">EDATE(TODAY(),38)</f>
        <v>47372</v>
      </c>
      <c r="DF26" s="14">
        <f ca="1">EDATE(TODAY(),39)</f>
        <v>47402</v>
      </c>
      <c r="DG26" s="14">
        <f ca="1">EDATE(TODAY(),40)</f>
        <v>47433</v>
      </c>
      <c r="DH26" s="14">
        <f ca="1">EDATE(TODAY(),41)</f>
        <v>47463</v>
      </c>
      <c r="DI26" s="14">
        <f ca="1">EDATE(TODAY(),42)</f>
        <v>47494</v>
      </c>
      <c r="DJ26" s="14">
        <f ca="1">EDATE(TODAY(),43)</f>
        <v>47525</v>
      </c>
      <c r="DK26" s="14">
        <f ca="1">EDATE(TODAY(),44)</f>
        <v>47553</v>
      </c>
      <c r="DL26" s="14">
        <f ca="1">EDATE(TODAY(),45)</f>
        <v>47584</v>
      </c>
      <c r="DM26" s="14">
        <f ca="1">EDATE(TODAY(),46)</f>
        <v>47614</v>
      </c>
      <c r="DN26" s="14">
        <f ca="1">EDATE(TODAY(),47)</f>
        <v>47645</v>
      </c>
      <c r="DO26" s="14">
        <f ca="1">EDATE(TODAY(),48)</f>
        <v>47675</v>
      </c>
      <c r="DP26" s="14">
        <f ca="1">EDATE(TODAY(),49)</f>
        <v>47706</v>
      </c>
      <c r="DQ26" s="14">
        <f ca="1">EDATE(TODAY(),50)</f>
        <v>47737</v>
      </c>
      <c r="DR26" s="14">
        <f ca="1">EDATE(TODAY(),51)</f>
        <v>47767</v>
      </c>
      <c r="DS26" s="14">
        <f ca="1">EDATE(TODAY(),52)</f>
        <v>47798</v>
      </c>
      <c r="DT26" s="14">
        <f ca="1">EDATE(TODAY(),53)</f>
        <v>47828</v>
      </c>
      <c r="DU26" s="14">
        <f ca="1">EDATE(TODAY(),54)</f>
        <v>47859</v>
      </c>
    </row>
    <row r="27" spans="1:125" x14ac:dyDescent="0.25">
      <c r="A27" s="11" t="s">
        <v>212</v>
      </c>
      <c r="B27" s="12">
        <f>DATE(1986,9,17)</f>
        <v>31672</v>
      </c>
      <c r="C27" s="12">
        <f ca="1">EDATE(TODAY(),9)</f>
        <v>46488</v>
      </c>
      <c r="D27" s="12">
        <f ca="1">EDATE(TODAY(),10)</f>
        <v>46518</v>
      </c>
      <c r="E27" s="12">
        <f ca="1">EDATE(TODAY(),11)</f>
        <v>46549</v>
      </c>
      <c r="F27" s="12">
        <f ca="1">EDATE(TODAY(),12)</f>
        <v>46579</v>
      </c>
      <c r="G27" s="12">
        <f ca="1">EDATE(TODAY(),13)</f>
        <v>46610</v>
      </c>
      <c r="H27" s="14">
        <f ca="1">EDATE(TODAY(),14)</f>
        <v>46641</v>
      </c>
      <c r="I27" s="14">
        <f ca="1">EDATE(TODAY(),15)</f>
        <v>46671</v>
      </c>
      <c r="J27" s="14">
        <f ca="1">EDATE(TODAY(),16)</f>
        <v>46702</v>
      </c>
      <c r="K27" s="14">
        <f ca="1">EDATE(TODAY(),17)</f>
        <v>46732</v>
      </c>
      <c r="L27" s="14">
        <f ca="1">EDATE(TODAY(),18)</f>
        <v>46763</v>
      </c>
      <c r="M27" s="14">
        <f ca="1">EDATE(TODAY(),19)</f>
        <v>46794</v>
      </c>
      <c r="N27" s="14">
        <f ca="1">EDATE(TODAY(),20)</f>
        <v>46823</v>
      </c>
      <c r="O27" s="14">
        <f ca="1">EDATE(TODAY(),21)</f>
        <v>46854</v>
      </c>
      <c r="P27" s="14">
        <f ca="1">EDATE(TODAY(),22)</f>
        <v>46884</v>
      </c>
      <c r="Q27" s="14">
        <f ca="1">EDATE(TODAY(),23)</f>
        <v>46915</v>
      </c>
      <c r="R27" s="14">
        <f ca="1">EDATE(TODAY(),24)</f>
        <v>46945</v>
      </c>
      <c r="S27" s="14">
        <f ca="1">EDATE(TODAY(),25)</f>
        <v>46976</v>
      </c>
      <c r="T27" s="14">
        <f ca="1">EDATE(TODAY(),26)</f>
        <v>47007</v>
      </c>
      <c r="U27" s="14">
        <f ca="1">EDATE(TODAY(),27)</f>
        <v>47037</v>
      </c>
      <c r="V27" s="14">
        <f ca="1">EDATE(TODAY(),28)</f>
        <v>47068</v>
      </c>
      <c r="W27" s="14">
        <f ca="1">EDATE(TODAY(),29)</f>
        <v>47098</v>
      </c>
      <c r="X27" s="14">
        <f ca="1">EDATE(TODAY(),30)</f>
        <v>47129</v>
      </c>
      <c r="Y27" s="14">
        <f ca="1">EDATE(TODAY(),31)</f>
        <v>47160</v>
      </c>
      <c r="Z27" s="14">
        <f ca="1">EDATE(TODAY(),32)</f>
        <v>47188</v>
      </c>
      <c r="AA27" s="14">
        <f ca="1">EDATE(TODAY(),33)</f>
        <v>47219</v>
      </c>
      <c r="AB27" s="14">
        <f ca="1">EDATE(TODAY(),34)</f>
        <v>47249</v>
      </c>
      <c r="AC27" s="14">
        <f ca="1">EDATE(TODAY(),35)</f>
        <v>47280</v>
      </c>
      <c r="AD27" s="14">
        <f ca="1">EDATE(TODAY(),36)</f>
        <v>47310</v>
      </c>
      <c r="AE27" s="14">
        <f ca="1">EDATE(TODAY(),37)</f>
        <v>47341</v>
      </c>
      <c r="AF27" s="14">
        <f ca="1">EDATE(TODAY(),38)</f>
        <v>47372</v>
      </c>
      <c r="AG27" s="14">
        <f ca="1">EDATE(TODAY(),39)</f>
        <v>47402</v>
      </c>
      <c r="AH27" s="14">
        <f ca="1">EDATE(TODAY(),40)</f>
        <v>47433</v>
      </c>
      <c r="AI27" s="14">
        <f ca="1">EDATE(TODAY(),41)</f>
        <v>47463</v>
      </c>
      <c r="AJ27" s="14">
        <f ca="1">EDATE(TODAY(),42)</f>
        <v>47494</v>
      </c>
      <c r="AK27" s="14">
        <f ca="1">EDATE(TODAY(),43)</f>
        <v>47525</v>
      </c>
      <c r="AL27" s="14">
        <f ca="1">EDATE(TODAY(),44)</f>
        <v>47553</v>
      </c>
      <c r="AM27" s="14">
        <f ca="1">EDATE(TODAY(),45)</f>
        <v>47584</v>
      </c>
      <c r="AN27" s="14">
        <f ca="1">EDATE(TODAY(),46)</f>
        <v>47614</v>
      </c>
      <c r="AO27" s="14">
        <f ca="1">EDATE(TODAY(),47)</f>
        <v>47645</v>
      </c>
      <c r="AP27" s="14">
        <f ca="1">EDATE(TODAY(),48)</f>
        <v>47675</v>
      </c>
      <c r="AQ27" s="14">
        <f ca="1">EDATE(TODAY(),49)</f>
        <v>47706</v>
      </c>
      <c r="AR27" s="14">
        <f ca="1">EDATE(TODAY(),50)</f>
        <v>47737</v>
      </c>
      <c r="AS27" s="14">
        <f ca="1">EDATE(TODAY(),51)</f>
        <v>47767</v>
      </c>
      <c r="AT27" s="14">
        <f ca="1">EDATE(TODAY(),52)</f>
        <v>47798</v>
      </c>
      <c r="AU27" s="14">
        <f ca="1">EDATE(TODAY(),53)</f>
        <v>47828</v>
      </c>
      <c r="AV27" s="14">
        <f ca="1">EDATE(TODAY(),54)</f>
        <v>47859</v>
      </c>
      <c r="AW27" s="14">
        <f ca="1">EDATE(TODAY(),55)</f>
        <v>47890</v>
      </c>
      <c r="AX27" s="14">
        <f ca="1">EDATE(TODAY(),56)</f>
        <v>47918</v>
      </c>
      <c r="AY27" s="14">
        <f ca="1">EDATE(TODAY(),57)</f>
        <v>47949</v>
      </c>
      <c r="AZ27" s="14">
        <f ca="1">EDATE(TODAY(),58)</f>
        <v>47979</v>
      </c>
      <c r="BA27" s="14">
        <f ca="1">EDATE(TODAY(),59)</f>
        <v>48010</v>
      </c>
      <c r="BB27" s="14">
        <f ca="1">EDATE(TODAY(),60)</f>
        <v>48040</v>
      </c>
      <c r="BC27" s="14">
        <f ca="1">EDATE(TODAY(),1)</f>
        <v>46245</v>
      </c>
      <c r="BD27" s="14">
        <f ca="1">EDATE(TODAY(),2)</f>
        <v>46276</v>
      </c>
      <c r="BE27" s="14">
        <f ca="1">EDATE(TODAY(),3)</f>
        <v>46306</v>
      </c>
      <c r="BF27" s="14">
        <f ca="1">EDATE(TODAY(),4)</f>
        <v>46337</v>
      </c>
      <c r="BG27" s="14">
        <f ca="1">EDATE(TODAY(),5)</f>
        <v>46367</v>
      </c>
      <c r="BH27" s="14">
        <f ca="1">EDATE(TODAY(),6)</f>
        <v>46398</v>
      </c>
      <c r="BI27" s="14">
        <f ca="1">EDATE(TODAY(),7)</f>
        <v>46429</v>
      </c>
      <c r="BJ27" s="14">
        <f ca="1">EDATE(TODAY(),8)</f>
        <v>46457</v>
      </c>
      <c r="BK27" s="14">
        <f ca="1">EDATE(TODAY(),9)</f>
        <v>46488</v>
      </c>
      <c r="BL27" s="14">
        <f ca="1">EDATE(TODAY(),10)</f>
        <v>46518</v>
      </c>
      <c r="BM27" s="14">
        <f ca="1">EDATE(TODAY(),11)</f>
        <v>46549</v>
      </c>
      <c r="BN27" s="14">
        <f ca="1">EDATE(TODAY(),12)</f>
        <v>46579</v>
      </c>
      <c r="BO27" s="14">
        <f ca="1">EDATE(TODAY(),13)</f>
        <v>46610</v>
      </c>
      <c r="BP27" s="14">
        <f ca="1">EDATE(TODAY(),14)</f>
        <v>46641</v>
      </c>
      <c r="BQ27" s="14">
        <f ca="1">EDATE(TODAY(),15)</f>
        <v>46671</v>
      </c>
      <c r="BR27" s="14">
        <f ca="1">EDATE(TODAY(),16)</f>
        <v>46702</v>
      </c>
      <c r="BS27" s="14">
        <f ca="1">EDATE(TODAY(),17)</f>
        <v>46732</v>
      </c>
      <c r="BT27" s="14">
        <f ca="1">EDATE(TODAY(),18)</f>
        <v>46763</v>
      </c>
      <c r="BU27" s="14">
        <f ca="1">EDATE(TODAY(),19)</f>
        <v>46794</v>
      </c>
      <c r="BV27" s="14">
        <f ca="1">EDATE(TODAY(),20)</f>
        <v>46823</v>
      </c>
      <c r="BW27" s="14">
        <f ca="1">EDATE(TODAY(),21)</f>
        <v>46854</v>
      </c>
      <c r="BX27" s="14">
        <f ca="1">EDATE(TODAY(),22)</f>
        <v>46884</v>
      </c>
      <c r="BY27" s="14">
        <f ca="1">EDATE(TODAY(),23)</f>
        <v>46915</v>
      </c>
      <c r="BZ27" s="14">
        <f ca="1">EDATE(TODAY(),24)</f>
        <v>46945</v>
      </c>
      <c r="CA27" s="14">
        <f ca="1">EDATE(TODAY(),25)</f>
        <v>46976</v>
      </c>
      <c r="CB27" s="14">
        <f ca="1">EDATE(TODAY(),26)</f>
        <v>47007</v>
      </c>
      <c r="CC27" s="14">
        <f ca="1">EDATE(TODAY(),27)</f>
        <v>47037</v>
      </c>
      <c r="CD27" s="14">
        <f ca="1">EDATE(TODAY(),28)</f>
        <v>47068</v>
      </c>
      <c r="CE27" s="14">
        <f ca="1">EDATE(TODAY(),29)</f>
        <v>47098</v>
      </c>
      <c r="CF27" s="14">
        <f ca="1">EDATE(TODAY(),30)</f>
        <v>47129</v>
      </c>
      <c r="CG27" s="14">
        <f ca="1">EDATE(TODAY(),31)</f>
        <v>47160</v>
      </c>
      <c r="CH27" s="14">
        <f ca="1">EDATE(TODAY(),32)</f>
        <v>47188</v>
      </c>
      <c r="CI27" s="14">
        <f ca="1">EDATE(TODAY(),33)</f>
        <v>47219</v>
      </c>
      <c r="CJ27" s="14">
        <f ca="1">EDATE(TODAY(),34)</f>
        <v>47249</v>
      </c>
      <c r="CK27" s="14">
        <f ca="1">EDATE(TODAY(),35)</f>
        <v>47280</v>
      </c>
      <c r="CL27" s="14">
        <f ca="1">EDATE(TODAY(),36)</f>
        <v>47310</v>
      </c>
      <c r="CM27" s="14">
        <f ca="1">EDATE(TODAY(),37)</f>
        <v>47341</v>
      </c>
      <c r="CN27" s="14">
        <f ca="1">EDATE(TODAY(),38)</f>
        <v>47372</v>
      </c>
      <c r="CO27" s="14">
        <f ca="1">EDATE(TODAY(),39)</f>
        <v>47402</v>
      </c>
      <c r="CP27" s="14">
        <f ca="1">EDATE(TODAY(),40)</f>
        <v>47433</v>
      </c>
      <c r="CQ27" s="14">
        <f ca="1">EDATE(TODAY(),41)</f>
        <v>47463</v>
      </c>
      <c r="CR27" s="14">
        <f ca="1">EDATE(TODAY(),42)</f>
        <v>47494</v>
      </c>
      <c r="CS27" s="14">
        <f ca="1">EDATE(TODAY(),43)</f>
        <v>47525</v>
      </c>
      <c r="CT27" s="14">
        <f ca="1">EDATE(TODAY(),44)</f>
        <v>47553</v>
      </c>
      <c r="CU27" s="14">
        <f ca="1">EDATE(TODAY(),45)</f>
        <v>47584</v>
      </c>
      <c r="CV27" s="14">
        <f ca="1">EDATE(TODAY(),46)</f>
        <v>47614</v>
      </c>
      <c r="CW27" s="14">
        <f ca="1">EDATE(TODAY(),47)</f>
        <v>47645</v>
      </c>
      <c r="CX27" s="14">
        <f ca="1">EDATE(TODAY(),48)</f>
        <v>47675</v>
      </c>
      <c r="CY27" s="14">
        <f ca="1">EDATE(TODAY(),49)</f>
        <v>47706</v>
      </c>
      <c r="CZ27" s="14">
        <f ca="1">EDATE(TODAY(),50)</f>
        <v>47737</v>
      </c>
      <c r="DA27" s="14">
        <f ca="1">EDATE(TODAY(),51)</f>
        <v>47767</v>
      </c>
      <c r="DB27" s="14">
        <f ca="1">EDATE(TODAY(),52)</f>
        <v>47798</v>
      </c>
      <c r="DC27" s="14">
        <f ca="1">EDATE(TODAY(),53)</f>
        <v>47828</v>
      </c>
      <c r="DD27" s="14">
        <f ca="1">EDATE(TODAY(),54)</f>
        <v>47859</v>
      </c>
      <c r="DE27" s="14">
        <f ca="1">EDATE(TODAY(),55)</f>
        <v>47890</v>
      </c>
      <c r="DF27" s="14">
        <f ca="1">EDATE(TODAY(),56)</f>
        <v>47918</v>
      </c>
      <c r="DG27" s="14">
        <f ca="1">EDATE(TODAY(),57)</f>
        <v>47949</v>
      </c>
      <c r="DH27" s="14">
        <f ca="1">EDATE(TODAY(),58)</f>
        <v>47979</v>
      </c>
      <c r="DI27" s="14">
        <f ca="1">EDATE(TODAY(),59)</f>
        <v>48010</v>
      </c>
      <c r="DJ27" s="14">
        <f ca="1">EDATE(TODAY(),60)</f>
        <v>48040</v>
      </c>
      <c r="DK27" s="14">
        <f ca="1">EDATE(TODAY(),1)</f>
        <v>46245</v>
      </c>
      <c r="DL27" s="14">
        <f ca="1">EDATE(TODAY(),2)</f>
        <v>46276</v>
      </c>
      <c r="DM27" s="14">
        <f ca="1">EDATE(TODAY(),3)</f>
        <v>46306</v>
      </c>
      <c r="DN27" s="14">
        <f ca="1">EDATE(TODAY(),4)</f>
        <v>46337</v>
      </c>
      <c r="DO27" s="14">
        <f ca="1">EDATE(TODAY(),5)</f>
        <v>46367</v>
      </c>
      <c r="DP27" s="14">
        <f ca="1">EDATE(TODAY(),6)</f>
        <v>46398</v>
      </c>
      <c r="DQ27" s="14">
        <f ca="1">EDATE(TODAY(),7)</f>
        <v>46429</v>
      </c>
      <c r="DR27" s="14">
        <f ca="1">EDATE(TODAY(),8)</f>
        <v>46457</v>
      </c>
      <c r="DS27" s="14">
        <f ca="1">EDATE(TODAY(),9)</f>
        <v>46488</v>
      </c>
      <c r="DT27" s="14">
        <f ca="1">EDATE(TODAY(),10)</f>
        <v>46518</v>
      </c>
      <c r="DU27" s="14">
        <f ca="1">EDATE(TODAY(),11)</f>
        <v>46549</v>
      </c>
    </row>
    <row r="28" spans="1:125" x14ac:dyDescent="0.25">
      <c r="A28" s="11" t="s">
        <v>213</v>
      </c>
      <c r="B28" s="12">
        <f>DATE(1998,4,8)</f>
        <v>35893</v>
      </c>
      <c r="C28" s="12">
        <f ca="1">EDATE(TODAY(),26)</f>
        <v>47007</v>
      </c>
      <c r="D28" s="12">
        <f ca="1">EDATE(TODAY(),27)</f>
        <v>47037</v>
      </c>
      <c r="E28" s="12">
        <f ca="1">EDATE(TODAY(),28)</f>
        <v>47068</v>
      </c>
      <c r="F28" s="12">
        <f ca="1">EDATE(TODAY(),29)</f>
        <v>47098</v>
      </c>
      <c r="G28" s="12">
        <f ca="1">EDATE(TODAY(),30)</f>
        <v>47129</v>
      </c>
      <c r="H28" s="14">
        <f ca="1">EDATE(TODAY(),31)</f>
        <v>47160</v>
      </c>
      <c r="I28" s="14">
        <f ca="1">EDATE(TODAY(),32)</f>
        <v>47188</v>
      </c>
      <c r="J28" s="14">
        <f ca="1">EDATE(TODAY(),33)</f>
        <v>47219</v>
      </c>
      <c r="K28" s="14">
        <f ca="1">EDATE(TODAY(),34)</f>
        <v>47249</v>
      </c>
      <c r="L28" s="14">
        <f ca="1">EDATE(TODAY(),35)</f>
        <v>47280</v>
      </c>
      <c r="M28" s="14">
        <f ca="1">EDATE(TODAY(),36)</f>
        <v>47310</v>
      </c>
      <c r="N28" s="14">
        <f ca="1">EDATE(TODAY(),37)</f>
        <v>47341</v>
      </c>
      <c r="O28" s="14">
        <f ca="1">EDATE(TODAY(),38)</f>
        <v>47372</v>
      </c>
      <c r="P28" s="14">
        <f ca="1">EDATE(TODAY(),39)</f>
        <v>47402</v>
      </c>
      <c r="Q28" s="14">
        <f ca="1">EDATE(TODAY(),40)</f>
        <v>47433</v>
      </c>
      <c r="R28" s="14">
        <f ca="1">EDATE(TODAY(),41)</f>
        <v>47463</v>
      </c>
      <c r="S28" s="14">
        <f ca="1">EDATE(TODAY(),42)</f>
        <v>47494</v>
      </c>
      <c r="T28" s="14">
        <f ca="1">EDATE(TODAY(),43)</f>
        <v>47525</v>
      </c>
      <c r="U28" s="14">
        <f ca="1">EDATE(TODAY(),44)</f>
        <v>47553</v>
      </c>
      <c r="V28" s="14">
        <f ca="1">EDATE(TODAY(),45)</f>
        <v>47584</v>
      </c>
      <c r="W28" s="14">
        <f ca="1">EDATE(TODAY(),46)</f>
        <v>47614</v>
      </c>
      <c r="X28" s="14">
        <f ca="1">EDATE(TODAY(),47)</f>
        <v>47645</v>
      </c>
      <c r="Y28" s="14">
        <f ca="1">EDATE(TODAY(),48)</f>
        <v>47675</v>
      </c>
      <c r="Z28" s="14">
        <f ca="1">EDATE(TODAY(),49)</f>
        <v>47706</v>
      </c>
      <c r="AA28" s="14">
        <f ca="1">EDATE(TODAY(),50)</f>
        <v>47737</v>
      </c>
      <c r="AB28" s="14">
        <f ca="1">EDATE(TODAY(),51)</f>
        <v>47767</v>
      </c>
      <c r="AC28" s="14">
        <f ca="1">EDATE(TODAY(),52)</f>
        <v>47798</v>
      </c>
      <c r="AD28" s="14">
        <f ca="1">EDATE(TODAY(),53)</f>
        <v>47828</v>
      </c>
      <c r="AE28" s="14">
        <f ca="1">EDATE(TODAY(),54)</f>
        <v>47859</v>
      </c>
      <c r="AF28" s="14">
        <f ca="1">EDATE(TODAY(),55)</f>
        <v>47890</v>
      </c>
      <c r="AG28" s="14">
        <f ca="1">EDATE(TODAY(),56)</f>
        <v>47918</v>
      </c>
      <c r="AH28" s="14">
        <f ca="1">EDATE(TODAY(),57)</f>
        <v>47949</v>
      </c>
      <c r="AI28" s="14">
        <f ca="1">EDATE(TODAY(),58)</f>
        <v>47979</v>
      </c>
      <c r="AJ28" s="14">
        <f ca="1">EDATE(TODAY(),59)</f>
        <v>48010</v>
      </c>
      <c r="AK28" s="14">
        <f ca="1">EDATE(TODAY(),60)</f>
        <v>48040</v>
      </c>
      <c r="AL28" s="14">
        <f ca="1">EDATE(TODAY(),1)</f>
        <v>46245</v>
      </c>
      <c r="AM28" s="14">
        <f ca="1">EDATE(TODAY(),2)</f>
        <v>46276</v>
      </c>
      <c r="AN28" s="14">
        <f ca="1">EDATE(TODAY(),3)</f>
        <v>46306</v>
      </c>
      <c r="AO28" s="14">
        <f ca="1">EDATE(TODAY(),4)</f>
        <v>46337</v>
      </c>
      <c r="AP28" s="14">
        <f ca="1">EDATE(TODAY(),5)</f>
        <v>46367</v>
      </c>
      <c r="AQ28" s="14">
        <f ca="1">EDATE(TODAY(),6)</f>
        <v>46398</v>
      </c>
      <c r="AR28" s="14">
        <f ca="1">EDATE(TODAY(),7)</f>
        <v>46429</v>
      </c>
      <c r="AS28" s="14">
        <f ca="1">EDATE(TODAY(),8)</f>
        <v>46457</v>
      </c>
      <c r="AT28" s="14">
        <f ca="1">EDATE(TODAY(),9)</f>
        <v>46488</v>
      </c>
      <c r="AU28" s="14">
        <f ca="1">EDATE(TODAY(),10)</f>
        <v>46518</v>
      </c>
      <c r="AV28" s="14">
        <f ca="1">EDATE(TODAY(),11)</f>
        <v>46549</v>
      </c>
      <c r="AW28" s="14">
        <f ca="1">EDATE(TODAY(),12)</f>
        <v>46579</v>
      </c>
      <c r="AX28" s="14">
        <f ca="1">EDATE(TODAY(),13)</f>
        <v>46610</v>
      </c>
      <c r="AY28" s="14">
        <f ca="1">EDATE(TODAY(),14)</f>
        <v>46641</v>
      </c>
      <c r="AZ28" s="14">
        <f ca="1">EDATE(TODAY(),15)</f>
        <v>46671</v>
      </c>
      <c r="BA28" s="14">
        <f ca="1">EDATE(TODAY(),16)</f>
        <v>46702</v>
      </c>
      <c r="BB28" s="14">
        <f ca="1">EDATE(TODAY(),17)</f>
        <v>46732</v>
      </c>
      <c r="BC28" s="14">
        <f ca="1">EDATE(TODAY(),18)</f>
        <v>46763</v>
      </c>
      <c r="BD28" s="14">
        <f ca="1">EDATE(TODAY(),19)</f>
        <v>46794</v>
      </c>
      <c r="BE28" s="14">
        <f ca="1">EDATE(TODAY(),20)</f>
        <v>46823</v>
      </c>
      <c r="BF28" s="14">
        <f ca="1">EDATE(TODAY(),21)</f>
        <v>46854</v>
      </c>
      <c r="BG28" s="14">
        <f ca="1">EDATE(TODAY(),22)</f>
        <v>46884</v>
      </c>
      <c r="BH28" s="14">
        <f ca="1">EDATE(TODAY(),23)</f>
        <v>46915</v>
      </c>
      <c r="BI28" s="14">
        <f ca="1">EDATE(TODAY(),24)</f>
        <v>46945</v>
      </c>
      <c r="BJ28" s="14">
        <f ca="1">EDATE(TODAY(),25)</f>
        <v>46976</v>
      </c>
      <c r="BK28" s="14">
        <f ca="1">EDATE(TODAY(),26)</f>
        <v>47007</v>
      </c>
      <c r="BL28" s="14">
        <f ca="1">EDATE(TODAY(),27)</f>
        <v>47037</v>
      </c>
      <c r="BM28" s="14">
        <f ca="1">EDATE(TODAY(),28)</f>
        <v>47068</v>
      </c>
      <c r="BN28" s="14">
        <f ca="1">EDATE(TODAY(),29)</f>
        <v>47098</v>
      </c>
      <c r="BO28" s="14">
        <f ca="1">EDATE(TODAY(),30)</f>
        <v>47129</v>
      </c>
      <c r="BP28" s="14">
        <f ca="1">EDATE(TODAY(),31)</f>
        <v>47160</v>
      </c>
      <c r="BQ28" s="14">
        <f ca="1">EDATE(TODAY(),32)</f>
        <v>47188</v>
      </c>
      <c r="BR28" s="14">
        <f ca="1">EDATE(TODAY(),33)</f>
        <v>47219</v>
      </c>
      <c r="BS28" s="14">
        <f ca="1">EDATE(TODAY(),34)</f>
        <v>47249</v>
      </c>
      <c r="BT28" s="14">
        <f ca="1">EDATE(TODAY(),35)</f>
        <v>47280</v>
      </c>
      <c r="BU28" s="14">
        <f ca="1">EDATE(TODAY(),36)</f>
        <v>47310</v>
      </c>
      <c r="BV28" s="14">
        <f ca="1">EDATE(TODAY(),37)</f>
        <v>47341</v>
      </c>
      <c r="BW28" s="14">
        <f ca="1">EDATE(TODAY(),38)</f>
        <v>47372</v>
      </c>
      <c r="BX28" s="14">
        <f ca="1">EDATE(TODAY(),39)</f>
        <v>47402</v>
      </c>
      <c r="BY28" s="14">
        <f ca="1">EDATE(TODAY(),40)</f>
        <v>47433</v>
      </c>
      <c r="BZ28" s="14">
        <f ca="1">EDATE(TODAY(),41)</f>
        <v>47463</v>
      </c>
      <c r="CA28" s="14">
        <f ca="1">EDATE(TODAY(),42)</f>
        <v>47494</v>
      </c>
      <c r="CB28" s="14">
        <f ca="1">EDATE(TODAY(),43)</f>
        <v>47525</v>
      </c>
      <c r="CC28" s="14">
        <f ca="1">EDATE(TODAY(),44)</f>
        <v>47553</v>
      </c>
      <c r="CD28" s="14">
        <f ca="1">EDATE(TODAY(),45)</f>
        <v>47584</v>
      </c>
      <c r="CE28" s="14">
        <f ca="1">EDATE(TODAY(),46)</f>
        <v>47614</v>
      </c>
      <c r="CF28" s="14">
        <f ca="1">EDATE(TODAY(),47)</f>
        <v>47645</v>
      </c>
      <c r="CG28" s="14">
        <f ca="1">EDATE(TODAY(),48)</f>
        <v>47675</v>
      </c>
      <c r="CH28" s="14">
        <f ca="1">EDATE(TODAY(),49)</f>
        <v>47706</v>
      </c>
      <c r="CI28" s="14">
        <f ca="1">EDATE(TODAY(),50)</f>
        <v>47737</v>
      </c>
      <c r="CJ28" s="14">
        <f ca="1">EDATE(TODAY(),51)</f>
        <v>47767</v>
      </c>
      <c r="CK28" s="14">
        <f ca="1">EDATE(TODAY(),52)</f>
        <v>47798</v>
      </c>
      <c r="CL28" s="14">
        <f ca="1">EDATE(TODAY(),53)</f>
        <v>47828</v>
      </c>
      <c r="CM28" s="14">
        <f ca="1">EDATE(TODAY(),54)</f>
        <v>47859</v>
      </c>
      <c r="CN28" s="14">
        <f ca="1">EDATE(TODAY(),55)</f>
        <v>47890</v>
      </c>
      <c r="CO28" s="14">
        <f ca="1">EDATE(TODAY(),56)</f>
        <v>47918</v>
      </c>
      <c r="CP28" s="14">
        <f ca="1">EDATE(TODAY(),57)</f>
        <v>47949</v>
      </c>
      <c r="CQ28" s="14">
        <f ca="1">EDATE(TODAY(),58)</f>
        <v>47979</v>
      </c>
      <c r="CR28" s="14">
        <f ca="1">EDATE(TODAY(),59)</f>
        <v>48010</v>
      </c>
      <c r="CS28" s="14">
        <f ca="1">EDATE(TODAY(),60)</f>
        <v>48040</v>
      </c>
      <c r="CT28" s="14">
        <f ca="1">EDATE(TODAY(),1)</f>
        <v>46245</v>
      </c>
      <c r="CU28" s="14">
        <f ca="1">EDATE(TODAY(),2)</f>
        <v>46276</v>
      </c>
      <c r="CV28" s="14">
        <f ca="1">EDATE(TODAY(),3)</f>
        <v>46306</v>
      </c>
      <c r="CW28" s="14">
        <f ca="1">EDATE(TODAY(),4)</f>
        <v>46337</v>
      </c>
      <c r="CX28" s="14">
        <f ca="1">EDATE(TODAY(),5)</f>
        <v>46367</v>
      </c>
      <c r="CY28" s="14">
        <f ca="1">EDATE(TODAY(),6)</f>
        <v>46398</v>
      </c>
      <c r="CZ28" s="14">
        <f ca="1">EDATE(TODAY(),7)</f>
        <v>46429</v>
      </c>
      <c r="DA28" s="14">
        <f ca="1">EDATE(TODAY(),8)</f>
        <v>46457</v>
      </c>
      <c r="DB28" s="14">
        <f ca="1">EDATE(TODAY(),9)</f>
        <v>46488</v>
      </c>
      <c r="DC28" s="14">
        <f ca="1">EDATE(TODAY(),10)</f>
        <v>46518</v>
      </c>
      <c r="DD28" s="14">
        <f ca="1">EDATE(TODAY(),11)</f>
        <v>46549</v>
      </c>
      <c r="DE28" s="14">
        <f ca="1">EDATE(TODAY(),12)</f>
        <v>46579</v>
      </c>
      <c r="DF28" s="14">
        <f ca="1">EDATE(TODAY(),13)</f>
        <v>46610</v>
      </c>
      <c r="DG28" s="14">
        <f ca="1">EDATE(TODAY(),14)</f>
        <v>46641</v>
      </c>
      <c r="DH28" s="14">
        <f ca="1">EDATE(TODAY(),15)</f>
        <v>46671</v>
      </c>
      <c r="DI28" s="14">
        <f ca="1">EDATE(TODAY(),16)</f>
        <v>46702</v>
      </c>
      <c r="DJ28" s="14">
        <f ca="1">EDATE(TODAY(),17)</f>
        <v>46732</v>
      </c>
      <c r="DK28" s="14">
        <f ca="1">EDATE(TODAY(),18)</f>
        <v>46763</v>
      </c>
      <c r="DL28" s="14">
        <f ca="1">EDATE(TODAY(),19)</f>
        <v>46794</v>
      </c>
      <c r="DM28" s="14">
        <f ca="1">EDATE(TODAY(),20)</f>
        <v>46823</v>
      </c>
      <c r="DN28" s="14">
        <f ca="1">EDATE(TODAY(),21)</f>
        <v>46854</v>
      </c>
      <c r="DO28" s="14">
        <f ca="1">EDATE(TODAY(),22)</f>
        <v>46884</v>
      </c>
      <c r="DP28" s="14">
        <f ca="1">EDATE(TODAY(),23)</f>
        <v>46915</v>
      </c>
      <c r="DQ28" s="14">
        <f ca="1">EDATE(TODAY(),24)</f>
        <v>46945</v>
      </c>
      <c r="DR28" s="14">
        <f ca="1">EDATE(TODAY(),25)</f>
        <v>46976</v>
      </c>
      <c r="DS28" s="14">
        <f ca="1">EDATE(TODAY(),26)</f>
        <v>47007</v>
      </c>
      <c r="DT28" s="14">
        <f ca="1">EDATE(TODAY(),27)</f>
        <v>47037</v>
      </c>
      <c r="DU28" s="14">
        <f ca="1">EDATE(TODAY(),28)</f>
        <v>47068</v>
      </c>
    </row>
    <row r="29" spans="1:125" x14ac:dyDescent="0.25">
      <c r="A29" s="11" t="s">
        <v>214</v>
      </c>
      <c r="B29" s="12">
        <f>DATE(1991,12,12)</f>
        <v>33584</v>
      </c>
      <c r="C29" s="12">
        <f ca="1">EDATE(TODAY(),43)</f>
        <v>47525</v>
      </c>
      <c r="D29" s="12">
        <f ca="1">EDATE(TODAY(),44)</f>
        <v>47553</v>
      </c>
      <c r="E29" s="12">
        <f ca="1">EDATE(TODAY(),45)</f>
        <v>47584</v>
      </c>
      <c r="F29" s="12">
        <f ca="1">EDATE(TODAY(),46)</f>
        <v>47614</v>
      </c>
      <c r="G29" s="12">
        <f ca="1">EDATE(TODAY(),47)</f>
        <v>47645</v>
      </c>
      <c r="H29" s="14">
        <f ca="1">EDATE(TODAY(),48)</f>
        <v>47675</v>
      </c>
      <c r="I29" s="14">
        <f ca="1">EDATE(TODAY(),49)</f>
        <v>47706</v>
      </c>
      <c r="J29" s="14">
        <f ca="1">EDATE(TODAY(),50)</f>
        <v>47737</v>
      </c>
      <c r="K29" s="14">
        <f ca="1">EDATE(TODAY(),51)</f>
        <v>47767</v>
      </c>
      <c r="L29" s="14">
        <f ca="1">EDATE(TODAY(),52)</f>
        <v>47798</v>
      </c>
      <c r="M29" s="14">
        <f ca="1">EDATE(TODAY(),53)</f>
        <v>47828</v>
      </c>
      <c r="N29" s="14">
        <f ca="1">EDATE(TODAY(),54)</f>
        <v>47859</v>
      </c>
      <c r="O29" s="14">
        <f ca="1">EDATE(TODAY(),55)</f>
        <v>47890</v>
      </c>
      <c r="P29" s="14">
        <f ca="1">EDATE(TODAY(),56)</f>
        <v>47918</v>
      </c>
      <c r="Q29" s="14">
        <f ca="1">EDATE(TODAY(),57)</f>
        <v>47949</v>
      </c>
      <c r="R29" s="14">
        <f ca="1">EDATE(TODAY(),58)</f>
        <v>47979</v>
      </c>
      <c r="S29" s="14">
        <f ca="1">EDATE(TODAY(),59)</f>
        <v>48010</v>
      </c>
      <c r="T29" s="14">
        <f ca="1">EDATE(TODAY(),60)</f>
        <v>48040</v>
      </c>
      <c r="U29" s="14">
        <f ca="1">EDATE(TODAY(),1)</f>
        <v>46245</v>
      </c>
      <c r="V29" s="14">
        <f ca="1">EDATE(TODAY(),2)</f>
        <v>46276</v>
      </c>
      <c r="W29" s="14">
        <f ca="1">EDATE(TODAY(),3)</f>
        <v>46306</v>
      </c>
      <c r="X29" s="14">
        <f ca="1">EDATE(TODAY(),4)</f>
        <v>46337</v>
      </c>
      <c r="Y29" s="14">
        <f ca="1">EDATE(TODAY(),5)</f>
        <v>46367</v>
      </c>
      <c r="Z29" s="14">
        <f ca="1">EDATE(TODAY(),6)</f>
        <v>46398</v>
      </c>
      <c r="AA29" s="14">
        <f ca="1">EDATE(TODAY(),7)</f>
        <v>46429</v>
      </c>
      <c r="AB29" s="14">
        <f ca="1">EDATE(TODAY(),8)</f>
        <v>46457</v>
      </c>
      <c r="AC29" s="14">
        <f ca="1">EDATE(TODAY(),9)</f>
        <v>46488</v>
      </c>
      <c r="AD29" s="14">
        <f ca="1">EDATE(TODAY(),10)</f>
        <v>46518</v>
      </c>
      <c r="AE29" s="14">
        <f ca="1">EDATE(TODAY(),11)</f>
        <v>46549</v>
      </c>
      <c r="AF29" s="14">
        <f ca="1">EDATE(TODAY(),12)</f>
        <v>46579</v>
      </c>
      <c r="AG29" s="14">
        <f ca="1">EDATE(TODAY(),13)</f>
        <v>46610</v>
      </c>
      <c r="AH29" s="14">
        <f ca="1">EDATE(TODAY(),14)</f>
        <v>46641</v>
      </c>
      <c r="AI29" s="14">
        <f ca="1">EDATE(TODAY(),15)</f>
        <v>46671</v>
      </c>
      <c r="AJ29" s="14">
        <f ca="1">EDATE(TODAY(),16)</f>
        <v>46702</v>
      </c>
      <c r="AK29" s="14">
        <f ca="1">EDATE(TODAY(),17)</f>
        <v>46732</v>
      </c>
      <c r="AL29" s="14">
        <f ca="1">EDATE(TODAY(),18)</f>
        <v>46763</v>
      </c>
      <c r="AM29" s="14">
        <f ca="1">EDATE(TODAY(),19)</f>
        <v>46794</v>
      </c>
      <c r="AN29" s="14">
        <f ca="1">EDATE(TODAY(),20)</f>
        <v>46823</v>
      </c>
      <c r="AO29" s="14">
        <f ca="1">EDATE(TODAY(),21)</f>
        <v>46854</v>
      </c>
      <c r="AP29" s="14">
        <f ca="1">EDATE(TODAY(),22)</f>
        <v>46884</v>
      </c>
      <c r="AQ29" s="14">
        <f ca="1">EDATE(TODAY(),23)</f>
        <v>46915</v>
      </c>
      <c r="AR29" s="14">
        <f ca="1">EDATE(TODAY(),24)</f>
        <v>46945</v>
      </c>
      <c r="AS29" s="14">
        <f ca="1">EDATE(TODAY(),25)</f>
        <v>46976</v>
      </c>
      <c r="AT29" s="14">
        <f ca="1">EDATE(TODAY(),26)</f>
        <v>47007</v>
      </c>
      <c r="AU29" s="14">
        <f ca="1">EDATE(TODAY(),27)</f>
        <v>47037</v>
      </c>
      <c r="AV29" s="14">
        <f ca="1">EDATE(TODAY(),28)</f>
        <v>47068</v>
      </c>
      <c r="AW29" s="14">
        <f ca="1">EDATE(TODAY(),29)</f>
        <v>47098</v>
      </c>
      <c r="AX29" s="14">
        <f ca="1">EDATE(TODAY(),30)</f>
        <v>47129</v>
      </c>
      <c r="AY29" s="14">
        <f ca="1">EDATE(TODAY(),31)</f>
        <v>47160</v>
      </c>
      <c r="AZ29" s="14">
        <f ca="1">EDATE(TODAY(),32)</f>
        <v>47188</v>
      </c>
      <c r="BA29" s="14">
        <f ca="1">EDATE(TODAY(),33)</f>
        <v>47219</v>
      </c>
      <c r="BB29" s="14">
        <f ca="1">EDATE(TODAY(),34)</f>
        <v>47249</v>
      </c>
      <c r="BC29" s="14">
        <f ca="1">EDATE(TODAY(),35)</f>
        <v>47280</v>
      </c>
      <c r="BD29" s="14">
        <f ca="1">EDATE(TODAY(),36)</f>
        <v>47310</v>
      </c>
      <c r="BE29" s="14">
        <f ca="1">EDATE(TODAY(),37)</f>
        <v>47341</v>
      </c>
      <c r="BF29" s="14">
        <f ca="1">EDATE(TODAY(),38)</f>
        <v>47372</v>
      </c>
      <c r="BG29" s="14">
        <f ca="1">EDATE(TODAY(),39)</f>
        <v>47402</v>
      </c>
      <c r="BH29" s="14">
        <f ca="1">EDATE(TODAY(),40)</f>
        <v>47433</v>
      </c>
      <c r="BI29" s="14">
        <f ca="1">EDATE(TODAY(),41)</f>
        <v>47463</v>
      </c>
      <c r="BJ29" s="14">
        <f ca="1">EDATE(TODAY(),42)</f>
        <v>47494</v>
      </c>
      <c r="BK29" s="14">
        <f ca="1">EDATE(TODAY(),43)</f>
        <v>47525</v>
      </c>
      <c r="BL29" s="14">
        <f ca="1">EDATE(TODAY(),44)</f>
        <v>47553</v>
      </c>
      <c r="BM29" s="14">
        <f ca="1">EDATE(TODAY(),45)</f>
        <v>47584</v>
      </c>
      <c r="BN29" s="14">
        <f ca="1">EDATE(TODAY(),46)</f>
        <v>47614</v>
      </c>
      <c r="BO29" s="14">
        <f ca="1">EDATE(TODAY(),47)</f>
        <v>47645</v>
      </c>
      <c r="BP29" s="14">
        <f ca="1">EDATE(TODAY(),48)</f>
        <v>47675</v>
      </c>
      <c r="BQ29" s="14">
        <f ca="1">EDATE(TODAY(),49)</f>
        <v>47706</v>
      </c>
      <c r="BR29" s="14">
        <f ca="1">EDATE(TODAY(),50)</f>
        <v>47737</v>
      </c>
      <c r="BS29" s="14">
        <f ca="1">EDATE(TODAY(),51)</f>
        <v>47767</v>
      </c>
      <c r="BT29" s="14">
        <f ca="1">EDATE(TODAY(),52)</f>
        <v>47798</v>
      </c>
      <c r="BU29" s="14">
        <f ca="1">EDATE(TODAY(),53)</f>
        <v>47828</v>
      </c>
      <c r="BV29" s="14">
        <f ca="1">EDATE(TODAY(),54)</f>
        <v>47859</v>
      </c>
      <c r="BW29" s="14">
        <f ca="1">EDATE(TODAY(),55)</f>
        <v>47890</v>
      </c>
      <c r="BX29" s="14">
        <f ca="1">EDATE(TODAY(),56)</f>
        <v>47918</v>
      </c>
      <c r="BY29" s="14">
        <f ca="1">EDATE(TODAY(),57)</f>
        <v>47949</v>
      </c>
      <c r="BZ29" s="14">
        <f ca="1">EDATE(TODAY(),58)</f>
        <v>47979</v>
      </c>
      <c r="CA29" s="14">
        <f ca="1">EDATE(TODAY(),59)</f>
        <v>48010</v>
      </c>
      <c r="CB29" s="14">
        <f ca="1">EDATE(TODAY(),60)</f>
        <v>48040</v>
      </c>
      <c r="CC29" s="14">
        <f ca="1">EDATE(TODAY(),1)</f>
        <v>46245</v>
      </c>
      <c r="CD29" s="14">
        <f ca="1">EDATE(TODAY(),2)</f>
        <v>46276</v>
      </c>
      <c r="CE29" s="14">
        <f ca="1">EDATE(TODAY(),3)</f>
        <v>46306</v>
      </c>
      <c r="CF29" s="14">
        <f ca="1">EDATE(TODAY(),4)</f>
        <v>46337</v>
      </c>
      <c r="CG29" s="14">
        <f ca="1">EDATE(TODAY(),5)</f>
        <v>46367</v>
      </c>
      <c r="CH29" s="14">
        <f ca="1">EDATE(TODAY(),6)</f>
        <v>46398</v>
      </c>
      <c r="CI29" s="14">
        <f ca="1">EDATE(TODAY(),7)</f>
        <v>46429</v>
      </c>
      <c r="CJ29" s="14">
        <f ca="1">EDATE(TODAY(),8)</f>
        <v>46457</v>
      </c>
      <c r="CK29" s="14">
        <f ca="1">EDATE(TODAY(),9)</f>
        <v>46488</v>
      </c>
      <c r="CL29" s="14">
        <f ca="1">EDATE(TODAY(),10)</f>
        <v>46518</v>
      </c>
      <c r="CM29" s="14">
        <f ca="1">EDATE(TODAY(),11)</f>
        <v>46549</v>
      </c>
      <c r="CN29" s="14">
        <f ca="1">EDATE(TODAY(),12)</f>
        <v>46579</v>
      </c>
      <c r="CO29" s="14">
        <f ca="1">EDATE(TODAY(),13)</f>
        <v>46610</v>
      </c>
      <c r="CP29" s="14">
        <f ca="1">EDATE(TODAY(),14)</f>
        <v>46641</v>
      </c>
      <c r="CQ29" s="14">
        <f ca="1">EDATE(TODAY(),15)</f>
        <v>46671</v>
      </c>
      <c r="CR29" s="14">
        <f ca="1">EDATE(TODAY(),16)</f>
        <v>46702</v>
      </c>
      <c r="CS29" s="14">
        <f ca="1">EDATE(TODAY(),17)</f>
        <v>46732</v>
      </c>
      <c r="CT29" s="14">
        <f ca="1">EDATE(TODAY(),18)</f>
        <v>46763</v>
      </c>
      <c r="CU29" s="14">
        <f ca="1">EDATE(TODAY(),19)</f>
        <v>46794</v>
      </c>
      <c r="CV29" s="14">
        <f ca="1">EDATE(TODAY(),20)</f>
        <v>46823</v>
      </c>
      <c r="CW29" s="14">
        <f ca="1">EDATE(TODAY(),21)</f>
        <v>46854</v>
      </c>
      <c r="CX29" s="14">
        <f ca="1">EDATE(TODAY(),22)</f>
        <v>46884</v>
      </c>
      <c r="CY29" s="14">
        <f ca="1">EDATE(TODAY(),23)</f>
        <v>46915</v>
      </c>
      <c r="CZ29" s="14">
        <f ca="1">EDATE(TODAY(),24)</f>
        <v>46945</v>
      </c>
      <c r="DA29" s="14">
        <f ca="1">EDATE(TODAY(),25)</f>
        <v>46976</v>
      </c>
      <c r="DB29" s="14">
        <f ca="1">EDATE(TODAY(),26)</f>
        <v>47007</v>
      </c>
      <c r="DC29" s="14">
        <f ca="1">EDATE(TODAY(),27)</f>
        <v>47037</v>
      </c>
      <c r="DD29" s="14">
        <f ca="1">EDATE(TODAY(),28)</f>
        <v>47068</v>
      </c>
      <c r="DE29" s="14">
        <f ca="1">EDATE(TODAY(),29)</f>
        <v>47098</v>
      </c>
      <c r="DF29" s="14">
        <f ca="1">EDATE(TODAY(),30)</f>
        <v>47129</v>
      </c>
      <c r="DG29" s="14">
        <f ca="1">EDATE(TODAY(),31)</f>
        <v>47160</v>
      </c>
      <c r="DH29" s="14">
        <f ca="1">EDATE(TODAY(),32)</f>
        <v>47188</v>
      </c>
      <c r="DI29" s="14">
        <f ca="1">EDATE(TODAY(),33)</f>
        <v>47219</v>
      </c>
      <c r="DJ29" s="14">
        <f ca="1">EDATE(TODAY(),34)</f>
        <v>47249</v>
      </c>
      <c r="DK29" s="14">
        <f ca="1">EDATE(TODAY(),35)</f>
        <v>47280</v>
      </c>
      <c r="DL29" s="14">
        <f ca="1">EDATE(TODAY(),36)</f>
        <v>47310</v>
      </c>
      <c r="DM29" s="14">
        <f ca="1">EDATE(TODAY(),37)</f>
        <v>47341</v>
      </c>
      <c r="DN29" s="14">
        <f ca="1">EDATE(TODAY(),38)</f>
        <v>47372</v>
      </c>
      <c r="DO29" s="14">
        <f ca="1">EDATE(TODAY(),39)</f>
        <v>47402</v>
      </c>
      <c r="DP29" s="14">
        <f ca="1">EDATE(TODAY(),40)</f>
        <v>47433</v>
      </c>
      <c r="DQ29" s="14">
        <f ca="1">EDATE(TODAY(),41)</f>
        <v>47463</v>
      </c>
      <c r="DR29" s="14">
        <f ca="1">EDATE(TODAY(),42)</f>
        <v>47494</v>
      </c>
      <c r="DS29" s="14">
        <f ca="1">EDATE(TODAY(),43)</f>
        <v>47525</v>
      </c>
      <c r="DT29" s="14">
        <f ca="1">EDATE(TODAY(),44)</f>
        <v>47553</v>
      </c>
      <c r="DU29" s="14">
        <f ca="1">EDATE(TODAY(),45)</f>
        <v>47584</v>
      </c>
    </row>
    <row r="30" spans="1:125" x14ac:dyDescent="0.25">
      <c r="A30" s="11" t="s">
        <v>215</v>
      </c>
      <c r="B30" s="12">
        <f>DATE(1996,6,3)</f>
        <v>35219</v>
      </c>
      <c r="C30" s="12">
        <f ca="1">EDATE(TODAY(),60)</f>
        <v>48040</v>
      </c>
      <c r="D30" s="12">
        <f ca="1">EDATE(TODAY(),1)</f>
        <v>46245</v>
      </c>
      <c r="E30" s="12">
        <f ca="1">EDATE(TODAY(),2)</f>
        <v>46276</v>
      </c>
      <c r="F30" s="12">
        <f ca="1">EDATE(TODAY(),3)</f>
        <v>46306</v>
      </c>
      <c r="G30" s="12">
        <f ca="1">EDATE(TODAY(),4)</f>
        <v>46337</v>
      </c>
      <c r="H30" s="14">
        <f ca="1">EDATE(TODAY(),5)</f>
        <v>46367</v>
      </c>
      <c r="I30" s="14">
        <f ca="1">EDATE(TODAY(),6)</f>
        <v>46398</v>
      </c>
      <c r="J30" s="14">
        <f ca="1">EDATE(TODAY(),7)</f>
        <v>46429</v>
      </c>
      <c r="K30" s="14">
        <f ca="1">EDATE(TODAY(),8)</f>
        <v>46457</v>
      </c>
      <c r="L30" s="14">
        <f ca="1">EDATE(TODAY(),9)</f>
        <v>46488</v>
      </c>
      <c r="M30" s="14">
        <f ca="1">EDATE(TODAY(),10)</f>
        <v>46518</v>
      </c>
      <c r="N30" s="14">
        <f ca="1">EDATE(TODAY(),11)</f>
        <v>46549</v>
      </c>
      <c r="O30" s="14">
        <f ca="1">EDATE(TODAY(),12)</f>
        <v>46579</v>
      </c>
      <c r="P30" s="14">
        <f ca="1">EDATE(TODAY(),13)</f>
        <v>46610</v>
      </c>
      <c r="Q30" s="14">
        <f ca="1">EDATE(TODAY(),14)</f>
        <v>46641</v>
      </c>
      <c r="R30" s="14">
        <f ca="1">EDATE(TODAY(),15)</f>
        <v>46671</v>
      </c>
      <c r="S30" s="14">
        <f ca="1">EDATE(TODAY(),16)</f>
        <v>46702</v>
      </c>
      <c r="T30" s="14">
        <f ca="1">EDATE(TODAY(),17)</f>
        <v>46732</v>
      </c>
      <c r="U30" s="14">
        <f ca="1">EDATE(TODAY(),18)</f>
        <v>46763</v>
      </c>
      <c r="V30" s="14">
        <f ca="1">EDATE(TODAY(),19)</f>
        <v>46794</v>
      </c>
      <c r="W30" s="14">
        <f ca="1">EDATE(TODAY(),20)</f>
        <v>46823</v>
      </c>
      <c r="X30" s="14">
        <f ca="1">EDATE(TODAY(),21)</f>
        <v>46854</v>
      </c>
      <c r="Y30" s="14">
        <f ca="1">EDATE(TODAY(),22)</f>
        <v>46884</v>
      </c>
      <c r="Z30" s="14">
        <f ca="1">EDATE(TODAY(),23)</f>
        <v>46915</v>
      </c>
      <c r="AA30" s="14">
        <f ca="1">EDATE(TODAY(),24)</f>
        <v>46945</v>
      </c>
      <c r="AB30" s="14">
        <f ca="1">EDATE(TODAY(),25)</f>
        <v>46976</v>
      </c>
      <c r="AC30" s="14">
        <f ca="1">EDATE(TODAY(),26)</f>
        <v>47007</v>
      </c>
      <c r="AD30" s="14">
        <f ca="1">EDATE(TODAY(),27)</f>
        <v>47037</v>
      </c>
      <c r="AE30" s="14">
        <f ca="1">EDATE(TODAY(),28)</f>
        <v>47068</v>
      </c>
      <c r="AF30" s="14">
        <f ca="1">EDATE(TODAY(),29)</f>
        <v>47098</v>
      </c>
      <c r="AG30" s="14">
        <f ca="1">EDATE(TODAY(),30)</f>
        <v>47129</v>
      </c>
      <c r="AH30" s="14">
        <f ca="1">EDATE(TODAY(),31)</f>
        <v>47160</v>
      </c>
      <c r="AI30" s="14">
        <f ca="1">EDATE(TODAY(),32)</f>
        <v>47188</v>
      </c>
      <c r="AJ30" s="14">
        <f ca="1">EDATE(TODAY(),33)</f>
        <v>47219</v>
      </c>
      <c r="AK30" s="14">
        <f ca="1">EDATE(TODAY(),34)</f>
        <v>47249</v>
      </c>
      <c r="AL30" s="14">
        <f ca="1">EDATE(TODAY(),35)</f>
        <v>47280</v>
      </c>
      <c r="AM30" s="14">
        <f ca="1">EDATE(TODAY(),36)</f>
        <v>47310</v>
      </c>
      <c r="AN30" s="14">
        <f ca="1">EDATE(TODAY(),37)</f>
        <v>47341</v>
      </c>
      <c r="AO30" s="14">
        <f ca="1">EDATE(TODAY(),38)</f>
        <v>47372</v>
      </c>
      <c r="AP30" s="14">
        <f ca="1">EDATE(TODAY(),39)</f>
        <v>47402</v>
      </c>
      <c r="AQ30" s="14">
        <f ca="1">EDATE(TODAY(),40)</f>
        <v>47433</v>
      </c>
      <c r="AR30" s="14">
        <f ca="1">EDATE(TODAY(),41)</f>
        <v>47463</v>
      </c>
      <c r="AS30" s="14">
        <f ca="1">EDATE(TODAY(),42)</f>
        <v>47494</v>
      </c>
      <c r="AT30" s="14">
        <f ca="1">EDATE(TODAY(),43)</f>
        <v>47525</v>
      </c>
      <c r="AU30" s="14">
        <f ca="1">EDATE(TODAY(),44)</f>
        <v>47553</v>
      </c>
      <c r="AV30" s="14">
        <f ca="1">EDATE(TODAY(),45)</f>
        <v>47584</v>
      </c>
      <c r="AW30" s="14">
        <f ca="1">EDATE(TODAY(),46)</f>
        <v>47614</v>
      </c>
      <c r="AX30" s="14">
        <f ca="1">EDATE(TODAY(),47)</f>
        <v>47645</v>
      </c>
      <c r="AY30" s="14">
        <f ca="1">EDATE(TODAY(),48)</f>
        <v>47675</v>
      </c>
      <c r="AZ30" s="14">
        <f ca="1">EDATE(TODAY(),49)</f>
        <v>47706</v>
      </c>
      <c r="BA30" s="14">
        <f ca="1">EDATE(TODAY(),50)</f>
        <v>47737</v>
      </c>
      <c r="BB30" s="14">
        <f ca="1">EDATE(TODAY(),51)</f>
        <v>47767</v>
      </c>
      <c r="BC30" s="14">
        <f ca="1">EDATE(TODAY(),52)</f>
        <v>47798</v>
      </c>
      <c r="BD30" s="14">
        <f ca="1">EDATE(TODAY(),53)</f>
        <v>47828</v>
      </c>
      <c r="BE30" s="14">
        <f ca="1">EDATE(TODAY(),54)</f>
        <v>47859</v>
      </c>
      <c r="BF30" s="14">
        <f ca="1">EDATE(TODAY(),55)</f>
        <v>47890</v>
      </c>
      <c r="BG30" s="14">
        <f ca="1">EDATE(TODAY(),56)</f>
        <v>47918</v>
      </c>
      <c r="BH30" s="14">
        <f ca="1">EDATE(TODAY(),57)</f>
        <v>47949</v>
      </c>
      <c r="BI30" s="14">
        <f ca="1">EDATE(TODAY(),58)</f>
        <v>47979</v>
      </c>
      <c r="BJ30" s="14">
        <f ca="1">EDATE(TODAY(),59)</f>
        <v>48010</v>
      </c>
      <c r="BK30" s="14">
        <f ca="1">EDATE(TODAY(),60)</f>
        <v>48040</v>
      </c>
      <c r="BL30" s="14">
        <f ca="1">EDATE(TODAY(),1)</f>
        <v>46245</v>
      </c>
      <c r="BM30" s="14">
        <f ca="1">EDATE(TODAY(),2)</f>
        <v>46276</v>
      </c>
      <c r="BN30" s="14">
        <f ca="1">EDATE(TODAY(),3)</f>
        <v>46306</v>
      </c>
      <c r="BO30" s="14">
        <f ca="1">EDATE(TODAY(),4)</f>
        <v>46337</v>
      </c>
      <c r="BP30" s="14">
        <f ca="1">EDATE(TODAY(),5)</f>
        <v>46367</v>
      </c>
      <c r="BQ30" s="14">
        <f ca="1">EDATE(TODAY(),6)</f>
        <v>46398</v>
      </c>
      <c r="BR30" s="14">
        <f ca="1">EDATE(TODAY(),7)</f>
        <v>46429</v>
      </c>
      <c r="BS30" s="14">
        <f ca="1">EDATE(TODAY(),8)</f>
        <v>46457</v>
      </c>
      <c r="BT30" s="14">
        <f ca="1">EDATE(TODAY(),9)</f>
        <v>46488</v>
      </c>
      <c r="BU30" s="14">
        <f ca="1">EDATE(TODAY(),10)</f>
        <v>46518</v>
      </c>
      <c r="BV30" s="14">
        <f ca="1">EDATE(TODAY(),11)</f>
        <v>46549</v>
      </c>
      <c r="BW30" s="14">
        <f ca="1">EDATE(TODAY(),12)</f>
        <v>46579</v>
      </c>
      <c r="BX30" s="14">
        <f ca="1">EDATE(TODAY(),13)</f>
        <v>46610</v>
      </c>
      <c r="BY30" s="14">
        <f ca="1">EDATE(TODAY(),14)</f>
        <v>46641</v>
      </c>
      <c r="BZ30" s="14">
        <f ca="1">EDATE(TODAY(),15)</f>
        <v>46671</v>
      </c>
      <c r="CA30" s="14">
        <f ca="1">EDATE(TODAY(),16)</f>
        <v>46702</v>
      </c>
      <c r="CB30" s="14">
        <f ca="1">EDATE(TODAY(),17)</f>
        <v>46732</v>
      </c>
      <c r="CC30" s="14">
        <f ca="1">EDATE(TODAY(),18)</f>
        <v>46763</v>
      </c>
      <c r="CD30" s="14">
        <f ca="1">EDATE(TODAY(),19)</f>
        <v>46794</v>
      </c>
      <c r="CE30" s="14">
        <f ca="1">EDATE(TODAY(),20)</f>
        <v>46823</v>
      </c>
      <c r="CF30" s="14">
        <f ca="1">EDATE(TODAY(),21)</f>
        <v>46854</v>
      </c>
      <c r="CG30" s="14">
        <f ca="1">EDATE(TODAY(),22)</f>
        <v>46884</v>
      </c>
      <c r="CH30" s="14">
        <f ca="1">EDATE(TODAY(),23)</f>
        <v>46915</v>
      </c>
      <c r="CI30" s="14">
        <f ca="1">EDATE(TODAY(),24)</f>
        <v>46945</v>
      </c>
      <c r="CJ30" s="14">
        <f ca="1">EDATE(TODAY(),25)</f>
        <v>46976</v>
      </c>
      <c r="CK30" s="14">
        <f ca="1">EDATE(TODAY(),26)</f>
        <v>47007</v>
      </c>
      <c r="CL30" s="14">
        <f ca="1">EDATE(TODAY(),27)</f>
        <v>47037</v>
      </c>
      <c r="CM30" s="14">
        <f ca="1">EDATE(TODAY(),28)</f>
        <v>47068</v>
      </c>
      <c r="CN30" s="14">
        <f ca="1">EDATE(TODAY(),29)</f>
        <v>47098</v>
      </c>
      <c r="CO30" s="14">
        <f ca="1">EDATE(TODAY(),30)</f>
        <v>47129</v>
      </c>
      <c r="CP30" s="14">
        <f ca="1">EDATE(TODAY(),31)</f>
        <v>47160</v>
      </c>
      <c r="CQ30" s="14">
        <f ca="1">EDATE(TODAY(),32)</f>
        <v>47188</v>
      </c>
      <c r="CR30" s="14">
        <f ca="1">EDATE(TODAY(),33)</f>
        <v>47219</v>
      </c>
      <c r="CS30" s="14">
        <f ca="1">EDATE(TODAY(),34)</f>
        <v>47249</v>
      </c>
      <c r="CT30" s="14">
        <f ca="1">EDATE(TODAY(),35)</f>
        <v>47280</v>
      </c>
      <c r="CU30" s="14">
        <f ca="1">EDATE(TODAY(),36)</f>
        <v>47310</v>
      </c>
      <c r="CV30" s="14">
        <f ca="1">EDATE(TODAY(),37)</f>
        <v>47341</v>
      </c>
      <c r="CW30" s="14">
        <f ca="1">EDATE(TODAY(),38)</f>
        <v>47372</v>
      </c>
      <c r="CX30" s="14">
        <f ca="1">EDATE(TODAY(),39)</f>
        <v>47402</v>
      </c>
      <c r="CY30" s="14">
        <f ca="1">EDATE(TODAY(),40)</f>
        <v>47433</v>
      </c>
      <c r="CZ30" s="14">
        <f ca="1">EDATE(TODAY(),41)</f>
        <v>47463</v>
      </c>
      <c r="DA30" s="14">
        <f ca="1">EDATE(TODAY(),42)</f>
        <v>47494</v>
      </c>
      <c r="DB30" s="14">
        <f ca="1">EDATE(TODAY(),43)</f>
        <v>47525</v>
      </c>
      <c r="DC30" s="14">
        <f ca="1">EDATE(TODAY(),44)</f>
        <v>47553</v>
      </c>
      <c r="DD30" s="14">
        <f ca="1">EDATE(TODAY(),45)</f>
        <v>47584</v>
      </c>
      <c r="DE30" s="14">
        <f ca="1">EDATE(TODAY(),46)</f>
        <v>47614</v>
      </c>
      <c r="DF30" s="14">
        <f ca="1">EDATE(TODAY(),47)</f>
        <v>47645</v>
      </c>
      <c r="DG30" s="14">
        <f ca="1">EDATE(TODAY(),48)</f>
        <v>47675</v>
      </c>
      <c r="DH30" s="14">
        <f ca="1">EDATE(TODAY(),49)</f>
        <v>47706</v>
      </c>
      <c r="DI30" s="14">
        <f ca="1">EDATE(TODAY(),50)</f>
        <v>47737</v>
      </c>
      <c r="DJ30" s="14">
        <f ca="1">EDATE(TODAY(),51)</f>
        <v>47767</v>
      </c>
      <c r="DK30" s="14">
        <f ca="1">EDATE(TODAY(),52)</f>
        <v>47798</v>
      </c>
      <c r="DL30" s="14">
        <f ca="1">EDATE(TODAY(),53)</f>
        <v>47828</v>
      </c>
      <c r="DM30" s="14">
        <f ca="1">EDATE(TODAY(),54)</f>
        <v>47859</v>
      </c>
      <c r="DN30" s="14">
        <f ca="1">EDATE(TODAY(),55)</f>
        <v>47890</v>
      </c>
      <c r="DO30" s="14">
        <f ca="1">EDATE(TODAY(),56)</f>
        <v>47918</v>
      </c>
      <c r="DP30" s="14">
        <f ca="1">EDATE(TODAY(),57)</f>
        <v>47949</v>
      </c>
      <c r="DQ30" s="14">
        <f ca="1">EDATE(TODAY(),58)</f>
        <v>47979</v>
      </c>
      <c r="DR30" s="14">
        <f ca="1">EDATE(TODAY(),59)</f>
        <v>48010</v>
      </c>
      <c r="DS30" s="14">
        <f ca="1">EDATE(TODAY(),60)</f>
        <v>48040</v>
      </c>
      <c r="DT30" s="14">
        <f ca="1">EDATE(TODAY(),1)</f>
        <v>46245</v>
      </c>
      <c r="DU30" s="14">
        <f ca="1">EDATE(TODAY(),2)</f>
        <v>46276</v>
      </c>
    </row>
  </sheetData>
  <mergeCells count="8">
    <mergeCell ref="F15:H15"/>
    <mergeCell ref="F20:H20"/>
    <mergeCell ref="F1:H1"/>
    <mergeCell ref="F3:H3"/>
    <mergeCell ref="F5:H5"/>
    <mergeCell ref="F8:H8"/>
    <mergeCell ref="F11:H11"/>
    <mergeCell ref="F13:H13"/>
  </mergeCells>
  <conditionalFormatting sqref="C23:DU30">
    <cfRule type="expression" dxfId="2" priority="1">
      <formula>C23&gt;EDATE(TODAY(),9)</formula>
    </cfRule>
    <cfRule type="expression" dxfId="1" priority="2">
      <formula>AND(C23&gt;=EDATE(TODAY(),3),C23&lt;=EDATE(TODAY(),9))</formula>
    </cfRule>
    <cfRule type="expression" dxfId="0" priority="3">
      <formula>C23&lt;EDATE(TODAY(),3)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Wayne Curry</cp:lastModifiedBy>
  <dcterms:created xsi:type="dcterms:W3CDTF">2026-07-11T09:26:55Z</dcterms:created>
  <dcterms:modified xsi:type="dcterms:W3CDTF">2026-07-11T09:34:13Z</dcterms:modified>
</cp:coreProperties>
</file>